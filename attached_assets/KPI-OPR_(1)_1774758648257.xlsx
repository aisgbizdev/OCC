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v2.SAIAD\Desktop\"/>
    </mc:Choice>
  </mc:AlternateContent>
  <xr:revisionPtr revIDLastSave="0" documentId="13_ncr:1_{B9AA4F53-2DE0-441C-8190-DA565823B31D}" xr6:coauthVersionLast="47" xr6:coauthVersionMax="47" xr10:uidLastSave="{00000000-0000-0000-0000-000000000000}"/>
  <bookViews>
    <workbookView xWindow="-120" yWindow="-120" windowWidth="29040" windowHeight="15840" xr2:uid="{DEE68B19-3191-4467-BCA0-0BC681BBE520}"/>
  </bookViews>
  <sheets>
    <sheet name="SHIFT PAGI" sheetId="1" r:id="rId1"/>
    <sheet name="SHIFT SIANG&amp;MLM" sheetId="5" r:id="rId2"/>
    <sheet name="Eko (SPV)" sheetId="3" r:id="rId3"/>
    <sheet name="KIKI (SPV)" sheetId="7" r:id="rId4"/>
    <sheet name="SPV MLM (FAHRUL&amp;ADID)" sheetId="6" r:id="rId5"/>
    <sheet name="AMEL" sheetId="4" r:id="rId6"/>
  </sheets>
  <definedNames>
    <definedName name="_xlnm.Print_Area" localSheetId="5">AMEL!$B$2:$M$35</definedName>
    <definedName name="_xlnm.Print_Area" localSheetId="2">'Eko (SPV)'!$B$2:$M$36</definedName>
    <definedName name="_xlnm.Print_Area" localSheetId="3">'KIKI (SPV)'!$A$1:$O$40</definedName>
    <definedName name="_xlnm.Print_Area" localSheetId="0">'SHIFT PAGI'!$B$2:$M$42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7" l="1"/>
  <c r="C28" i="7"/>
  <c r="H23" i="7"/>
  <c r="G23" i="7"/>
  <c r="F23" i="7"/>
  <c r="E23" i="7"/>
  <c r="H19" i="7"/>
  <c r="G19" i="7"/>
  <c r="F19" i="7"/>
  <c r="E19" i="7"/>
  <c r="H14" i="7"/>
  <c r="G14" i="7"/>
  <c r="F14" i="7"/>
  <c r="E14" i="7"/>
  <c r="H9" i="7"/>
  <c r="H28" i="7" s="1"/>
  <c r="G9" i="7"/>
  <c r="G28" i="7" s="1"/>
  <c r="F9" i="7"/>
  <c r="E9" i="7"/>
  <c r="E28" i="7" s="1"/>
  <c r="I28" i="7" s="1"/>
  <c r="F30" i="6" l="1"/>
  <c r="C30" i="6"/>
  <c r="H25" i="6"/>
  <c r="G25" i="6"/>
  <c r="F25" i="6"/>
  <c r="E25" i="6"/>
  <c r="H19" i="6"/>
  <c r="G19" i="6"/>
  <c r="F19" i="6"/>
  <c r="E19" i="6"/>
  <c r="H14" i="6"/>
  <c r="G14" i="6"/>
  <c r="F14" i="6"/>
  <c r="E14" i="6"/>
  <c r="H9" i="6"/>
  <c r="H30" i="6" s="1"/>
  <c r="G9" i="6"/>
  <c r="G30" i="6" s="1"/>
  <c r="F9" i="6"/>
  <c r="E9" i="6"/>
  <c r="E30" i="6" s="1"/>
  <c r="F35" i="5"/>
  <c r="C35" i="5"/>
  <c r="H31" i="5"/>
  <c r="G31" i="5"/>
  <c r="F31" i="5"/>
  <c r="E31" i="5"/>
  <c r="H24" i="5"/>
  <c r="G24" i="5"/>
  <c r="F24" i="5"/>
  <c r="E24" i="5"/>
  <c r="H15" i="5"/>
  <c r="G15" i="5"/>
  <c r="F15" i="5"/>
  <c r="E15" i="5"/>
  <c r="H8" i="5"/>
  <c r="H35" i="5" s="1"/>
  <c r="G8" i="5"/>
  <c r="G35" i="5" s="1"/>
  <c r="F8" i="5"/>
  <c r="E8" i="5"/>
  <c r="E35" i="5" s="1"/>
  <c r="I30" i="6" l="1"/>
  <c r="I35" i="5"/>
  <c r="F27" i="4"/>
  <c r="C27" i="4"/>
  <c r="H23" i="4"/>
  <c r="G23" i="4"/>
  <c r="F23" i="4"/>
  <c r="E23" i="4"/>
  <c r="H18" i="4"/>
  <c r="G18" i="4"/>
  <c r="F18" i="4"/>
  <c r="E18" i="4"/>
  <c r="H12" i="4"/>
  <c r="G12" i="4"/>
  <c r="F12" i="4"/>
  <c r="E12" i="4"/>
  <c r="H7" i="4"/>
  <c r="H27" i="4" s="1"/>
  <c r="G7" i="4"/>
  <c r="F7" i="4"/>
  <c r="E7" i="4"/>
  <c r="E27" i="4" s="1"/>
  <c r="E7" i="3"/>
  <c r="F7" i="3"/>
  <c r="G7" i="3"/>
  <c r="H7" i="3"/>
  <c r="H28" i="3" s="1"/>
  <c r="E12" i="3"/>
  <c r="F12" i="3"/>
  <c r="G12" i="3"/>
  <c r="H12" i="3"/>
  <c r="E18" i="3"/>
  <c r="F18" i="3"/>
  <c r="G18" i="3"/>
  <c r="H18" i="3"/>
  <c r="E23" i="3"/>
  <c r="F23" i="3"/>
  <c r="G23" i="3"/>
  <c r="H23" i="3"/>
  <c r="C28" i="3"/>
  <c r="E28" i="3"/>
  <c r="F28" i="3"/>
  <c r="G28" i="3"/>
  <c r="G27" i="4" l="1"/>
  <c r="I27" i="4" s="1"/>
  <c r="I28" i="3"/>
  <c r="C34" i="1" l="1"/>
  <c r="H30" i="1"/>
  <c r="G30" i="1"/>
  <c r="F30" i="1"/>
  <c r="E30" i="1"/>
  <c r="H23" i="1"/>
  <c r="G23" i="1"/>
  <c r="F23" i="1"/>
  <c r="E23" i="1"/>
  <c r="H14" i="1"/>
  <c r="G14" i="1"/>
  <c r="F14" i="1"/>
  <c r="E14" i="1"/>
  <c r="H7" i="1"/>
  <c r="H34" i="1" s="1"/>
  <c r="G7" i="1"/>
  <c r="G34" i="1" s="1"/>
  <c r="F7" i="1"/>
  <c r="F34" i="1" s="1"/>
  <c r="E7" i="1"/>
  <c r="E34" i="1" s="1"/>
  <c r="I3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Eko SPV</author>
    <author>admin</author>
  </authors>
  <commentList>
    <comment ref="B20" authorId="0" shapeId="0" xr:uid="{77950861-4287-44BC-838F-A3494C71740D}">
      <text>
        <r>
          <rPr>
            <b/>
            <sz val="9"/>
            <color indexed="81"/>
            <rFont val="Tahoma"/>
            <family val="2"/>
          </rPr>
          <t>Eko SPV:</t>
        </r>
        <r>
          <rPr>
            <sz val="9"/>
            <color indexed="81"/>
            <rFont val="Tahoma"/>
            <family val="2"/>
          </rPr>
          <t xml:space="preserve">
sudah beri penjelasan 
13/12/24 jam 9.51 wib</t>
        </r>
      </text>
    </comment>
    <comment ref="M27" authorId="1" shapeId="0" xr:uid="{D88EF34D-6043-42B1-9D7E-145FCF57E20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Maksimal jam 7 Pagi</t>
        </r>
      </text>
    </comment>
    <comment ref="M28" authorId="1" shapeId="0" xr:uid="{B875F893-544B-483C-9551-9775810964A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Maksimal jam 7 Pagi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M28" authorId="0" shapeId="0" xr:uid="{A87A27D2-4DB2-4406-BCEA-BD9F442F79F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Maksimal jam 7 Pagi</t>
        </r>
      </text>
    </comment>
    <comment ref="M29" authorId="0" shapeId="0" xr:uid="{F1855831-EC5E-48AC-B97C-0ECFB8D3E7D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Maksimal jam 7 Pagi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M1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Dilihat permintaan/ by request
</t>
        </r>
      </text>
    </comment>
    <comment ref="M1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Dilihat permintaan/ by request
</t>
        </r>
      </text>
    </comment>
    <comment ref="M16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Dilihat permintaan/ by request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M25" authorId="0" shapeId="0" xr:uid="{B37C754E-3373-4526-914F-E3AC242D128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Note : berdasarkan jumlah keterlambatan setiap bulan</t>
        </r>
      </text>
    </comment>
    <comment ref="M26" authorId="0" shapeId="0" xr:uid="{D77C77ED-CC32-43B0-AFCD-A86C86E1152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Note : berdasarkan rata2 jumlah keterlambatan team
RUMUS: Total karyawan terlambat lebih dari 3x/ Total karyawan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M27" authorId="0" shapeId="0" xr:uid="{31445721-3E91-4C5A-8BB2-01444CBDBDA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Note : berdasarkan jumlah keterlambatan setiap bulan</t>
        </r>
      </text>
    </comment>
    <comment ref="M28" authorId="0" shapeId="0" xr:uid="{A6DC068B-AB6F-4169-96DD-4F97B2C56D9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Note : berdasarkan rata2 jumlah keterlambatan team
RUMUS: Total karyawan terlambat lebih dari 3x/ Total karyawan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M14" authorId="0" shapeId="0" xr:uid="{552F7FAF-A957-4C0B-8AF6-5FD72990497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Dilihat permintaan/ by request
</t>
        </r>
      </text>
    </comment>
    <comment ref="M15" authorId="0" shapeId="0" xr:uid="{C7C26EB3-A346-4310-A9BC-795E82524D9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Dilihat permintaan/ by request
</t>
        </r>
      </text>
    </comment>
    <comment ref="M16" authorId="0" shapeId="0" xr:uid="{1963A4C9-5FFE-48E5-89F3-14D74485E75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Dilihat permintaan/ by request
</t>
        </r>
      </text>
    </comment>
  </commentList>
</comments>
</file>

<file path=xl/sharedStrings.xml><?xml version="1.0" encoding="utf-8"?>
<sst xmlns="http://schemas.openxmlformats.org/spreadsheetml/2006/main" count="716" uniqueCount="108">
  <si>
    <t>RESULT STATEMENT</t>
  </si>
  <si>
    <t>Ketelitian dan Ketepatan dalam melakukan Pekerjaan sesuai dengan SOP Sehingga tidak terjadi kesalahan</t>
  </si>
  <si>
    <t>OBJECTIVE #1 VALIDASI DATA NASABAH</t>
  </si>
  <si>
    <t>%</t>
  </si>
  <si>
    <t>PIC</t>
  </si>
  <si>
    <t>Q1</t>
  </si>
  <si>
    <t>Q2</t>
  </si>
  <si>
    <t>Q3</t>
  </si>
  <si>
    <t>Q4</t>
  </si>
  <si>
    <t>POOR</t>
  </si>
  <si>
    <t>AVERAGE</t>
  </si>
  <si>
    <t>PERFECT</t>
  </si>
  <si>
    <t>Ketelitian dalam Proses Pemeriksaan keabsahan data dan Validitas Data Nasabah</t>
  </si>
  <si>
    <t>KPI</t>
  </si>
  <si>
    <t>Melakukan pengecekan Rec dan Video verifikasi WPB dan Aktifasi Kepala Cabang sebelum pengiriman user id &amp; pass ke nasabah sesuai dengan data yang ada di eform / surat pernyataan</t>
  </si>
  <si>
    <t>Atasan</t>
  </si>
  <si>
    <t>&gt; 3 kesalahan</t>
  </si>
  <si>
    <t>1-3 kesalahan</t>
  </si>
  <si>
    <t>0 kesalahan</t>
  </si>
  <si>
    <t>Pengiriman User ID &amp; Password Kepada Nasabah. Format SMS &amp; Email,No Account,Password Nasabah Harus Sesuai dengan yang diberikan Pedagang</t>
  </si>
  <si>
    <t>Penginputan Client Bank sudah sesuai dengan data di eform</t>
  </si>
  <si>
    <t>Update NA (new account) yang sudah di aktifasi di program BAS</t>
  </si>
  <si>
    <t>OBJECTIVE #2 IDENTIFIKASI MARGIN IN &amp; OUT</t>
  </si>
  <si>
    <t>Melakukan proses identifikasi Margin in &amp; Out</t>
  </si>
  <si>
    <t xml:space="preserve">Identifikasi Slip setoran margin sesuai dengan bukti setoran pada rekening terpisah </t>
  </si>
  <si>
    <t>Identifikasi nama pengirim pada bukti slip setoran margin</t>
  </si>
  <si>
    <t>Pencatatan margin in dalam buku laporan keuangan (BUKU KU) dan dilaporkan ke finance</t>
  </si>
  <si>
    <t>Memastikan OR telah sesuai dengan nominal dan data nasabah pada saat proses keyin di Etrade</t>
  </si>
  <si>
    <t>Memastikan withdrawal nasabah harus sesuai dengan data ( client bank, WD list, Etarde )</t>
  </si>
  <si>
    <t>Menyerahkan data list withdrawal ke finance harus sesuai dengan etrade</t>
  </si>
  <si>
    <t>OBJECTIVE #3 LAPORAN LOGBOOK</t>
  </si>
  <si>
    <t>Pencatatan Laporan (LOGBOOK)</t>
  </si>
  <si>
    <t>Memastikan pencatatan pekerjaan setiap Serah terima antar shift</t>
  </si>
  <si>
    <t>Melakukan pengecekan surat pernyataan telah terkirim kepada pedagang setiap terdapat perubahan data nasabah dari cabang melali email</t>
  </si>
  <si>
    <r>
      <rPr>
        <b/>
        <sz val="10"/>
        <color theme="1"/>
        <rFont val="Arial"/>
        <family val="2"/>
        <charset val="1"/>
      </rPr>
      <t>[SHIFT 3-4]</t>
    </r>
    <r>
      <rPr>
        <sz val="10"/>
        <color theme="1"/>
        <rFont val="Arial"/>
        <family val="2"/>
        <charset val="1"/>
      </rPr>
      <t xml:space="preserve"> Melakukan proses penginputan report XLS agar sesuai dengan data program BDC</t>
    </r>
  </si>
  <si>
    <t>&gt; 3 terlambat</t>
  </si>
  <si>
    <t>1-3 terlambat</t>
  </si>
  <si>
    <t>0 terlambat</t>
  </si>
  <si>
    <r>
      <t xml:space="preserve">[SHIFT 3-4] </t>
    </r>
    <r>
      <rPr>
        <sz val="10"/>
        <color theme="1"/>
        <rFont val="Arial"/>
        <family val="2"/>
        <charset val="1"/>
      </rPr>
      <t>Pengiriman statement ke email nasabah melalui BDC dan dipastikan seluruh email telah terkirim ke nasabah.
(Note : Bila terjadi keterlambatan maka menjadi kesalahan pribadi dan akan dibantu kirimkan oleh shift selanjutnya)</t>
    </r>
  </si>
  <si>
    <t>LEADERSHIP / ATTENDANCE</t>
  </si>
  <si>
    <t>Attendance</t>
  </si>
  <si>
    <t>HRD</t>
  </si>
  <si>
    <t>&gt;3x</t>
  </si>
  <si>
    <t>1-3x</t>
  </si>
  <si>
    <t>Pelanggaran SP -1, SP-2, SP-3</t>
  </si>
  <si>
    <t>SP-1 (kedua kali), SP-2, SP-3</t>
  </si>
  <si>
    <t>SP - 1</t>
  </si>
  <si>
    <t>Tanpa SP</t>
  </si>
  <si>
    <t>TOTAL SCORE</t>
  </si>
  <si>
    <t>Membuat,</t>
  </si>
  <si>
    <t>Menyetujui,</t>
  </si>
  <si>
    <t>Mengesahkan,</t>
  </si>
  <si>
    <t>Karyawan</t>
  </si>
  <si>
    <t>Pimpinan Unit Kerja</t>
  </si>
  <si>
    <t>Direksi</t>
  </si>
  <si>
    <t>Nama Karyawan</t>
  </si>
  <si>
    <t>Nama Pimpinan</t>
  </si>
  <si>
    <t>Nama Direksi</t>
  </si>
  <si>
    <t xml:space="preserve">DIVISI OPERATIONAL HQ </t>
  </si>
  <si>
    <t>90-100% disiplin</t>
  </si>
  <si>
    <t>80-90% disiplin</t>
  </si>
  <si>
    <t>&lt;80% disiplin</t>
  </si>
  <si>
    <t>Leadership</t>
  </si>
  <si>
    <t>Rekap Jumlah Peserta Reward</t>
  </si>
  <si>
    <t>Kalkulasi Transaksi komoditi statement &amp; di cocokan ke Jafets</t>
  </si>
  <si>
    <t>Komoditi statement &amp; report</t>
  </si>
  <si>
    <t>OBJECTIVE 3 # KOMODITI STATEMEN &amp; REPORT + REWARD KWARTAL, ANNUAL</t>
  </si>
  <si>
    <t>1-3x terlambat</t>
  </si>
  <si>
    <t>&gt;3x terlambat</t>
  </si>
  <si>
    <t>Menyiapkan data untuk keperluan pengaduan akun² nasabah yang dilakukan DIRKEP</t>
  </si>
  <si>
    <t>Meneliti akun² non aktif yang menjadi temuan saat AUDIT ( norek, sisa equity )</t>
  </si>
  <si>
    <t>Menyiapkan data untuk keperluan audit yang dilakukan bappebti/BBJ</t>
  </si>
  <si>
    <t>Permintaan Data Audit &amp; Dirkep</t>
  </si>
  <si>
    <t>OBJECTIVE #2 PERMINTAAN DOKUMEN</t>
  </si>
  <si>
    <t>1-5 kesalahan</t>
  </si>
  <si>
    <t>&gt; 5 kesalahan</t>
  </si>
  <si>
    <t>&gt; 6 kesalahan</t>
  </si>
  <si>
    <t>1-6 kesalahan</t>
  </si>
  <si>
    <t>OBJECTIVE 2 # PERMINTAAN DOCUMENT</t>
  </si>
  <si>
    <t>Menyiapkan data untuk keperluan audit yang dilakukan Bappebti/BBJ</t>
  </si>
  <si>
    <t>Crosscheck akun² non aktif yang menjadi temuan saat AUDIT ( norek, sisa equity )</t>
  </si>
  <si>
    <t>Note :</t>
  </si>
  <si>
    <t>DIVISI OPERATIONAL HQ</t>
  </si>
  <si>
    <t>NAMA KARYAWAN : ABDUL AZIZ</t>
  </si>
  <si>
    <t>STAFF</t>
  </si>
  <si>
    <t>Memastikan withdrawal nasabah harus sesuai dengan data client bank di BAS</t>
  </si>
  <si>
    <t>CATATAN :</t>
  </si>
  <si>
    <t>NAMA KARYAWAN : FAHRUL</t>
  </si>
  <si>
    <t>SUPERVISOR</t>
  </si>
  <si>
    <t>OBJECTIVE #2 REPORT DAILY</t>
  </si>
  <si>
    <t>Report Daily</t>
  </si>
  <si>
    <t>Mencocokan Margin dengan Etrade All PT</t>
  </si>
  <si>
    <t>Daily Repot untuk BRM, CBO dan CEO setiap harinya setelah close market</t>
  </si>
  <si>
    <t>OBJECTIVE #3 PENGIRIMAN STATEMEN</t>
  </si>
  <si>
    <t>Pengiriman Statemen</t>
  </si>
  <si>
    <t>Cek email Log Statemen di BDC</t>
  </si>
  <si>
    <t>Cek/pastikan Pengiriman email Statemen di ZIMBRA</t>
  </si>
  <si>
    <t>Backup Email Statemen ke Outlook secara berkala</t>
  </si>
  <si>
    <t>&gt; 3x terlambat</t>
  </si>
  <si>
    <t>Leadership (Bertanggungjawab atas kedisiplinan team)</t>
  </si>
  <si>
    <t>OBJECTIVE #2 PRODEM PROCESS</t>
  </si>
  <si>
    <t>Prodem Monthly, Quartal dan Perubahan Upline</t>
  </si>
  <si>
    <t>Crosscheck data marketing All PT (5 PT) sudah sesuai untuk mengikut promo atau demosi setiap bulan atau kuartal sesuai dengan syarat &amp; ketentuan Schemee Commission yang berlaku</t>
  </si>
  <si>
    <t>Melakukan perubahan upline sesuai permintaan cabang baik normal case ataupun special case</t>
  </si>
  <si>
    <t>OBJECTIVE #3 REPORT MONTHLY</t>
  </si>
  <si>
    <t>Report Monthly , Quartal, Semester &amp; Anuall serta Best of the Best Marketing &amp; Kantor Cabang</t>
  </si>
  <si>
    <t>Membuat laporan bulanan untuk BRM, CBO dan CEO
(Note : Laporan digunakan untuk kepentingan pendapatan kantor cabang serta marketing &amp; cabang terbaik di ALL PT)</t>
  </si>
  <si>
    <t xml:space="preserve">Note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</si>
</sst>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  <charset val="1"/>
    </font>
    <font>
      <b/>
      <sz val="16"/>
      <color theme="1"/>
      <name val="Arial"/>
      <family val="2"/>
      <charset val="1"/>
    </font>
    <font>
      <b/>
      <sz val="10"/>
      <color theme="0"/>
      <name val="Arial"/>
      <family val="2"/>
      <charset val="1"/>
    </font>
    <font>
      <b/>
      <i/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2"/>
      <color theme="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2"/>
      <color theme="0"/>
      <name val="Arial"/>
      <family val="2"/>
      <charset val="1"/>
    </font>
    <font>
      <sz val="10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006699"/>
        <bgColor rgb="FF006666"/>
      </patternFill>
    </fill>
    <fill>
      <patternFill patternType="solid">
        <fgColor rgb="FF006666"/>
        <bgColor rgb="FF006699"/>
      </patternFill>
    </fill>
    <fill>
      <patternFill patternType="solid">
        <fgColor rgb="FFE2EFD9"/>
        <bgColor rgb="FFF2F2F2"/>
      </patternFill>
    </fill>
    <fill>
      <patternFill patternType="solid">
        <fgColor rgb="FFFEF2CB"/>
        <bgColor rgb="FFF2F2F2"/>
      </patternFill>
    </fill>
    <fill>
      <patternFill patternType="solid">
        <fgColor rgb="FFD6DCE4"/>
        <bgColor rgb="FFE2EFD9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006666"/>
        <bgColor rgb="FF006666"/>
      </patternFill>
    </fill>
    <fill>
      <patternFill patternType="solid">
        <fgColor rgb="FF434343"/>
        <bgColor rgb="FF262626"/>
      </patternFill>
    </fill>
    <fill>
      <patternFill patternType="solid">
        <fgColor theme="0"/>
        <bgColor rgb="FFFFFF00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8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" fontId="4" fillId="2" borderId="0" xfId="0" applyNumberFormat="1" applyFont="1" applyFill="1" applyAlignment="1">
      <alignment horizontal="center" vertical="center"/>
    </xf>
    <xf numFmtId="1" fontId="5" fillId="3" borderId="0" xfId="0" applyNumberFormat="1" applyFont="1" applyFill="1" applyAlignment="1">
      <alignment vertical="center"/>
    </xf>
    <xf numFmtId="1" fontId="6" fillId="2" borderId="0" xfId="0" applyNumberFormat="1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9" fontId="5" fillId="4" borderId="0" xfId="0" applyNumberFormat="1" applyFont="1" applyFill="1" applyAlignment="1">
      <alignment horizontal="center" vertical="center"/>
    </xf>
    <xf numFmtId="1" fontId="5" fillId="4" borderId="0" xfId="0" applyNumberFormat="1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9" fontId="7" fillId="5" borderId="0" xfId="0" applyNumberFormat="1" applyFont="1" applyFill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164" fontId="7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" fontId="7" fillId="7" borderId="0" xfId="0" applyNumberFormat="1" applyFont="1" applyFill="1" applyAlignment="1">
      <alignment vertical="center" wrapText="1"/>
    </xf>
    <xf numFmtId="9" fontId="3" fillId="7" borderId="0" xfId="0" applyNumberFormat="1" applyFont="1" applyFill="1" applyAlignment="1">
      <alignment horizontal="center" vertical="center"/>
    </xf>
    <xf numFmtId="1" fontId="3" fillId="7" borderId="0" xfId="0" applyNumberFormat="1" applyFont="1" applyFill="1" applyAlignment="1">
      <alignment horizontal="center" vertical="center"/>
    </xf>
    <xf numFmtId="164" fontId="7" fillId="7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vertical="center" wrapText="1"/>
    </xf>
    <xf numFmtId="9" fontId="3" fillId="2" borderId="0" xfId="0" applyNumberFormat="1" applyFont="1" applyFill="1" applyAlignment="1">
      <alignment vertical="center"/>
    </xf>
    <xf numFmtId="1" fontId="7" fillId="9" borderId="0" xfId="0" applyNumberFormat="1" applyFont="1" applyFill="1" applyAlignment="1">
      <alignment horizontal="center" vertical="center" wrapText="1"/>
    </xf>
    <xf numFmtId="164" fontId="3" fillId="9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1" fontId="5" fillId="4" borderId="0" xfId="0" applyNumberFormat="1" applyFont="1" applyFill="1" applyAlignment="1">
      <alignment vertical="center" wrapText="1"/>
    </xf>
    <xf numFmtId="9" fontId="5" fillId="4" borderId="0" xfId="0" applyNumberFormat="1" applyFont="1" applyFill="1" applyAlignment="1">
      <alignment horizontal="center" vertical="center" wrapText="1"/>
    </xf>
    <xf numFmtId="1" fontId="5" fillId="4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" fontId="3" fillId="8" borderId="0" xfId="0" applyNumberFormat="1" applyFont="1" applyFill="1" applyAlignment="1">
      <alignment vertical="center" wrapText="1"/>
    </xf>
    <xf numFmtId="9" fontId="3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0" fillId="2" borderId="0" xfId="0" applyFill="1"/>
    <xf numFmtId="0" fontId="3" fillId="2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7" fillId="8" borderId="0" xfId="0" applyFont="1" applyFill="1" applyAlignment="1">
      <alignment vertical="center" wrapText="1"/>
    </xf>
    <xf numFmtId="1" fontId="7" fillId="7" borderId="0" xfId="0" applyNumberFormat="1" applyFont="1" applyFill="1" applyAlignment="1">
      <alignment vertical="center"/>
    </xf>
    <xf numFmtId="1" fontId="7" fillId="9" borderId="0" xfId="0" applyNumberFormat="1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vertical="center"/>
    </xf>
    <xf numFmtId="9" fontId="8" fillId="10" borderId="0" xfId="0" applyNumberFormat="1" applyFont="1" applyFill="1" applyAlignment="1">
      <alignment vertical="center"/>
    </xf>
    <xf numFmtId="1" fontId="9" fillId="11" borderId="0" xfId="0" applyNumberFormat="1" applyFont="1" applyFill="1" applyAlignment="1">
      <alignment horizontal="center" vertical="center"/>
    </xf>
    <xf numFmtId="2" fontId="10" fillId="12" borderId="0" xfId="0" applyNumberFormat="1" applyFont="1" applyFill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164" fontId="5" fillId="13" borderId="0" xfId="0" applyNumberFormat="1" applyFont="1" applyFill="1" applyAlignment="1">
      <alignment vertical="center"/>
    </xf>
    <xf numFmtId="9" fontId="5" fillId="13" borderId="0" xfId="0" applyNumberFormat="1" applyFont="1" applyFill="1" applyAlignment="1">
      <alignment vertical="center"/>
    </xf>
    <xf numFmtId="164" fontId="11" fillId="13" borderId="0" xfId="0" applyNumberFormat="1" applyFont="1" applyFill="1" applyAlignment="1">
      <alignment horizontal="center" vertical="center"/>
    </xf>
    <xf numFmtId="164" fontId="5" fillId="13" borderId="0" xfId="0" applyNumberFormat="1" applyFont="1" applyFill="1" applyAlignment="1">
      <alignment horizontal="center" vertical="center"/>
    </xf>
    <xf numFmtId="164" fontId="12" fillId="13" borderId="0" xfId="0" applyNumberFormat="1" applyFont="1" applyFill="1" applyAlignment="1">
      <alignment horizontal="center" vertical="center"/>
    </xf>
    <xf numFmtId="164" fontId="13" fillId="13" borderId="0" xfId="0" applyNumberFormat="1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1" fontId="9" fillId="10" borderId="0" xfId="1" applyNumberFormat="1" applyFont="1" applyFill="1" applyAlignment="1">
      <alignment horizontal="center" vertical="center"/>
    </xf>
    <xf numFmtId="0" fontId="9" fillId="10" borderId="0" xfId="1" applyFont="1" applyFill="1" applyAlignment="1">
      <alignment horizontal="center" vertical="center"/>
    </xf>
    <xf numFmtId="14" fontId="14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0" fontId="14" fillId="0" borderId="0" xfId="0" applyFont="1" applyAlignment="1">
      <alignment horizontal="left" vertical="top" wrapText="1"/>
    </xf>
    <xf numFmtId="0" fontId="0" fillId="8" borderId="0" xfId="0" applyFill="1"/>
    <xf numFmtId="0" fontId="9" fillId="10" borderId="1" xfId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1" fontId="9" fillId="10" borderId="1" xfId="1" applyNumberFormat="1" applyFont="1" applyFill="1" applyBorder="1" applyAlignment="1">
      <alignment horizontal="center" vertical="center"/>
    </xf>
    <xf numFmtId="1" fontId="9" fillId="10" borderId="3" xfId="1" applyNumberFormat="1" applyFont="1" applyFill="1" applyBorder="1" applyAlignment="1">
      <alignment horizontal="center" vertical="center"/>
    </xf>
    <xf numFmtId="1" fontId="9" fillId="10" borderId="2" xfId="1" applyNumberFormat="1" applyFont="1" applyFill="1" applyBorder="1" applyAlignment="1">
      <alignment horizontal="center" vertical="center"/>
    </xf>
    <xf numFmtId="0" fontId="9" fillId="10" borderId="4" xfId="1" applyFont="1" applyFill="1" applyBorder="1" applyAlignment="1">
      <alignment horizontal="center" vertical="center"/>
    </xf>
    <xf numFmtId="0" fontId="9" fillId="10" borderId="5" xfId="1" applyFont="1" applyFill="1" applyBorder="1" applyAlignment="1">
      <alignment horizontal="center" vertical="center"/>
    </xf>
    <xf numFmtId="1" fontId="9" fillId="10" borderId="4" xfId="1" applyNumberFormat="1" applyFont="1" applyFill="1" applyBorder="1" applyAlignment="1">
      <alignment horizontal="center" vertical="center"/>
    </xf>
    <xf numFmtId="1" fontId="9" fillId="10" borderId="6" xfId="1" applyNumberFormat="1" applyFont="1" applyFill="1" applyBorder="1" applyAlignment="1">
      <alignment horizontal="center" vertical="center"/>
    </xf>
    <xf numFmtId="1" fontId="9" fillId="10" borderId="5" xfId="1" applyNumberFormat="1" applyFont="1" applyFill="1" applyBorder="1" applyAlignment="1">
      <alignment horizontal="center" vertical="center"/>
    </xf>
    <xf numFmtId="0" fontId="9" fillId="10" borderId="4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9" fillId="10" borderId="5" xfId="1" applyFont="1" applyFill="1" applyBorder="1" applyAlignment="1">
      <alignment horizontal="center"/>
    </xf>
    <xf numFmtId="0" fontId="9" fillId="10" borderId="7" xfId="1" applyFont="1" applyFill="1" applyBorder="1" applyAlignment="1">
      <alignment horizontal="center" vertical="center"/>
    </xf>
    <xf numFmtId="0" fontId="9" fillId="10" borderId="8" xfId="1" applyFont="1" applyFill="1" applyBorder="1" applyAlignment="1">
      <alignment horizontal="center" vertical="center"/>
    </xf>
    <xf numFmtId="1" fontId="9" fillId="10" borderId="7" xfId="1" applyNumberFormat="1" applyFont="1" applyFill="1" applyBorder="1" applyAlignment="1">
      <alignment horizontal="center" vertical="center"/>
    </xf>
    <xf numFmtId="1" fontId="9" fillId="10" borderId="8" xfId="1" applyNumberFormat="1" applyFont="1" applyFill="1" applyBorder="1" applyAlignment="1">
      <alignment horizontal="center" vertical="center"/>
    </xf>
    <xf numFmtId="0" fontId="9" fillId="10" borderId="7" xfId="1" applyFont="1" applyFill="1" applyBorder="1" applyAlignment="1">
      <alignment horizontal="center"/>
    </xf>
    <xf numFmtId="0" fontId="9" fillId="10" borderId="0" xfId="1" applyFont="1" applyFill="1" applyAlignment="1">
      <alignment horizontal="center"/>
    </xf>
    <xf numFmtId="0" fontId="9" fillId="10" borderId="8" xfId="1" applyFont="1" applyFill="1" applyBorder="1" applyAlignment="1">
      <alignment horizontal="center"/>
    </xf>
    <xf numFmtId="0" fontId="9" fillId="10" borderId="9" xfId="1" applyFont="1" applyFill="1" applyBorder="1" applyAlignment="1">
      <alignment horizontal="center" vertical="center"/>
    </xf>
    <xf numFmtId="0" fontId="9" fillId="10" borderId="10" xfId="1" applyFont="1" applyFill="1" applyBorder="1" applyAlignment="1">
      <alignment horizontal="center" vertical="center"/>
    </xf>
    <xf numFmtId="1" fontId="9" fillId="10" borderId="9" xfId="1" applyNumberFormat="1" applyFont="1" applyFill="1" applyBorder="1" applyAlignment="1">
      <alignment horizontal="center" vertical="center"/>
    </xf>
    <xf numFmtId="1" fontId="9" fillId="10" borderId="11" xfId="1" applyNumberFormat="1" applyFont="1" applyFill="1" applyBorder="1" applyAlignment="1">
      <alignment horizontal="center" vertical="center"/>
    </xf>
    <xf numFmtId="1" fontId="9" fillId="10" borderId="10" xfId="1" applyNumberFormat="1" applyFont="1" applyFill="1" applyBorder="1" applyAlignment="1">
      <alignment horizontal="center" vertical="center"/>
    </xf>
    <xf numFmtId="0" fontId="9" fillId="10" borderId="9" xfId="1" applyFont="1" applyFill="1" applyBorder="1" applyAlignment="1">
      <alignment horizontal="center"/>
    </xf>
    <xf numFmtId="0" fontId="9" fillId="10" borderId="11" xfId="1" applyFont="1" applyFill="1" applyBorder="1" applyAlignment="1">
      <alignment horizontal="center"/>
    </xf>
    <xf numFmtId="15" fontId="9" fillId="10" borderId="10" xfId="1" applyNumberFormat="1" applyFont="1" applyFill="1" applyBorder="1" applyAlignment="1">
      <alignment horizontal="center"/>
    </xf>
    <xf numFmtId="0" fontId="9" fillId="10" borderId="12" xfId="1" applyFont="1" applyFill="1" applyBorder="1" applyAlignment="1">
      <alignment horizontal="center" vertical="center"/>
    </xf>
    <xf numFmtId="1" fontId="9" fillId="10" borderId="12" xfId="1" applyNumberFormat="1" applyFont="1" applyFill="1" applyBorder="1" applyAlignment="1">
      <alignment horizontal="center" vertical="center"/>
    </xf>
    <xf numFmtId="164" fontId="8" fillId="11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1" fontId="6" fillId="2" borderId="4" xfId="0" applyNumberFormat="1" applyFont="1" applyFill="1" applyBorder="1" applyAlignment="1">
      <alignment horizontal="center" vertical="center" wrapText="1"/>
    </xf>
    <xf numFmtId="1" fontId="6" fillId="2" borderId="6" xfId="0" applyNumberFormat="1" applyFont="1" applyFill="1" applyBorder="1" applyAlignment="1">
      <alignment horizontal="center" vertical="center" wrapText="1"/>
    </xf>
    <xf numFmtId="1" fontId="6" fillId="2" borderId="5" xfId="0" applyNumberFormat="1" applyFont="1" applyFill="1" applyBorder="1" applyAlignment="1">
      <alignment horizontal="center" vertical="center" wrapText="1"/>
    </xf>
    <xf numFmtId="1" fontId="5" fillId="3" borderId="9" xfId="0" applyNumberFormat="1" applyFont="1" applyFill="1" applyBorder="1" applyAlignment="1">
      <alignment vertical="center"/>
    </xf>
    <xf numFmtId="1" fontId="5" fillId="3" borderId="11" xfId="0" applyNumberFormat="1" applyFont="1" applyFill="1" applyBorder="1" applyAlignment="1">
      <alignment vertical="center"/>
    </xf>
    <xf numFmtId="1" fontId="5" fillId="3" borderId="10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1" fontId="17" fillId="2" borderId="13" xfId="2" applyNumberFormat="1" applyFont="1" applyFill="1" applyBorder="1" applyAlignment="1">
      <alignment horizontal="center" vertical="center"/>
    </xf>
    <xf numFmtId="1" fontId="17" fillId="2" borderId="14" xfId="2" applyNumberFormat="1" applyFont="1" applyFill="1" applyBorder="1" applyAlignment="1">
      <alignment horizontal="center" vertical="center"/>
    </xf>
    <xf numFmtId="1" fontId="17" fillId="2" borderId="15" xfId="2" applyNumberFormat="1" applyFont="1" applyFill="1" applyBorder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1" fillId="0" borderId="0" xfId="2"/>
    <xf numFmtId="1" fontId="17" fillId="2" borderId="16" xfId="2" applyNumberFormat="1" applyFont="1" applyFill="1" applyBorder="1" applyAlignment="1">
      <alignment horizontal="center" vertical="center"/>
    </xf>
    <xf numFmtId="1" fontId="17" fillId="2" borderId="0" xfId="2" applyNumberFormat="1" applyFont="1" applyFill="1" applyAlignment="1">
      <alignment horizontal="center" vertical="center"/>
    </xf>
    <xf numFmtId="1" fontId="17" fillId="2" borderId="17" xfId="2" applyNumberFormat="1" applyFont="1" applyFill="1" applyBorder="1" applyAlignment="1">
      <alignment horizontal="center" vertical="center"/>
    </xf>
    <xf numFmtId="1" fontId="18" fillId="15" borderId="16" xfId="2" applyNumberFormat="1" applyFont="1" applyFill="1" applyBorder="1" applyAlignment="1">
      <alignment vertical="center"/>
    </xf>
    <xf numFmtId="0" fontId="19" fillId="15" borderId="0" xfId="2" applyFont="1" applyFill="1" applyAlignment="1">
      <alignment vertical="center"/>
    </xf>
    <xf numFmtId="0" fontId="18" fillId="15" borderId="0" xfId="2" applyFont="1" applyFill="1" applyAlignment="1">
      <alignment vertical="center"/>
    </xf>
    <xf numFmtId="1" fontId="19" fillId="15" borderId="0" xfId="2" applyNumberFormat="1" applyFont="1" applyFill="1" applyAlignment="1">
      <alignment vertical="center"/>
    </xf>
    <xf numFmtId="1" fontId="18" fillId="15" borderId="0" xfId="2" applyNumberFormat="1" applyFont="1" applyFill="1" applyAlignment="1">
      <alignment vertical="center"/>
    </xf>
    <xf numFmtId="0" fontId="20" fillId="16" borderId="0" xfId="2" applyFont="1" applyFill="1"/>
    <xf numFmtId="0" fontId="19" fillId="15" borderId="0" xfId="2" applyFont="1" applyFill="1" applyAlignment="1">
      <alignment horizontal="center" vertical="center"/>
    </xf>
    <xf numFmtId="1" fontId="18" fillId="15" borderId="17" xfId="2" applyNumberFormat="1" applyFont="1" applyFill="1" applyBorder="1" applyAlignment="1">
      <alignment horizontal="right" vertical="center"/>
    </xf>
    <xf numFmtId="1" fontId="5" fillId="3" borderId="18" xfId="2" applyNumberFormat="1" applyFont="1" applyFill="1" applyBorder="1" applyAlignment="1">
      <alignment vertical="center"/>
    </xf>
    <xf numFmtId="1" fontId="5" fillId="3" borderId="11" xfId="2" applyNumberFormat="1" applyFont="1" applyFill="1" applyBorder="1" applyAlignment="1">
      <alignment vertical="center"/>
    </xf>
    <xf numFmtId="1" fontId="5" fillId="3" borderId="19" xfId="2" applyNumberFormat="1" applyFont="1" applyFill="1" applyBorder="1" applyAlignment="1">
      <alignment vertical="center"/>
    </xf>
    <xf numFmtId="1" fontId="6" fillId="2" borderId="20" xfId="2" applyNumberFormat="1" applyFont="1" applyFill="1" applyBorder="1" applyAlignment="1">
      <alignment horizontal="center" vertical="center" wrapText="1"/>
    </xf>
    <xf numFmtId="1" fontId="6" fillId="2" borderId="6" xfId="2" applyNumberFormat="1" applyFont="1" applyFill="1" applyBorder="1" applyAlignment="1">
      <alignment horizontal="center" vertical="center" wrapText="1"/>
    </xf>
    <xf numFmtId="1" fontId="6" fillId="2" borderId="21" xfId="2" applyNumberFormat="1" applyFont="1" applyFill="1" applyBorder="1" applyAlignment="1">
      <alignment horizontal="center" vertical="center" wrapText="1"/>
    </xf>
    <xf numFmtId="0" fontId="3" fillId="2" borderId="16" xfId="2" applyFont="1" applyFill="1" applyBorder="1" applyAlignment="1">
      <alignment horizontal="center" vertical="center"/>
    </xf>
    <xf numFmtId="1" fontId="3" fillId="2" borderId="0" xfId="2" applyNumberFormat="1" applyFont="1" applyFill="1" applyAlignment="1">
      <alignment vertical="center"/>
    </xf>
    <xf numFmtId="0" fontId="3" fillId="2" borderId="17" xfId="2" applyFont="1" applyFill="1" applyBorder="1" applyAlignment="1">
      <alignment horizontal="center" vertical="center"/>
    </xf>
    <xf numFmtId="1" fontId="5" fillId="4" borderId="16" xfId="2" applyNumberFormat="1" applyFont="1" applyFill="1" applyBorder="1" applyAlignment="1">
      <alignment vertical="center"/>
    </xf>
    <xf numFmtId="9" fontId="5" fillId="4" borderId="0" xfId="2" applyNumberFormat="1" applyFont="1" applyFill="1" applyAlignment="1">
      <alignment horizontal="center" vertical="center"/>
    </xf>
    <xf numFmtId="1" fontId="5" fillId="4" borderId="0" xfId="2" applyNumberFormat="1" applyFont="1" applyFill="1" applyAlignment="1">
      <alignment horizontal="center" vertical="center"/>
    </xf>
    <xf numFmtId="164" fontId="5" fillId="4" borderId="0" xfId="2" applyNumberFormat="1" applyFont="1" applyFill="1" applyAlignment="1">
      <alignment horizontal="center" vertical="center"/>
    </xf>
    <xf numFmtId="164" fontId="5" fillId="4" borderId="17" xfId="2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vertical="center"/>
    </xf>
    <xf numFmtId="0" fontId="3" fillId="2" borderId="16" xfId="2" applyFont="1" applyFill="1" applyBorder="1" applyAlignment="1">
      <alignment vertical="center" wrapText="1"/>
    </xf>
    <xf numFmtId="9" fontId="7" fillId="5" borderId="0" xfId="2" applyNumberFormat="1" applyFont="1" applyFill="1" applyAlignment="1">
      <alignment horizontal="center" vertical="center"/>
    </xf>
    <xf numFmtId="164" fontId="3" fillId="6" borderId="0" xfId="2" applyNumberFormat="1" applyFont="1" applyFill="1" applyAlignment="1">
      <alignment horizontal="center" vertical="center"/>
    </xf>
    <xf numFmtId="164" fontId="7" fillId="6" borderId="0" xfId="2" applyNumberFormat="1" applyFont="1" applyFill="1" applyAlignment="1">
      <alignment horizontal="center" vertical="center"/>
    </xf>
    <xf numFmtId="0" fontId="7" fillId="6" borderId="0" xfId="2" applyFont="1" applyFill="1" applyAlignment="1">
      <alignment horizontal="center" vertical="center"/>
    </xf>
    <xf numFmtId="0" fontId="7" fillId="6" borderId="17" xfId="2" applyFont="1" applyFill="1" applyBorder="1" applyAlignment="1">
      <alignment horizontal="center" vertical="center"/>
    </xf>
    <xf numFmtId="1" fontId="7" fillId="7" borderId="16" xfId="2" applyNumberFormat="1" applyFont="1" applyFill="1" applyBorder="1" applyAlignment="1">
      <alignment vertical="center" wrapText="1"/>
    </xf>
    <xf numFmtId="9" fontId="3" fillId="7" borderId="0" xfId="2" applyNumberFormat="1" applyFont="1" applyFill="1" applyAlignment="1">
      <alignment horizontal="center" vertical="center"/>
    </xf>
    <xf numFmtId="1" fontId="3" fillId="7" borderId="0" xfId="2" applyNumberFormat="1" applyFont="1" applyFill="1" applyAlignment="1">
      <alignment horizontal="center" vertical="center"/>
    </xf>
    <xf numFmtId="164" fontId="7" fillId="7" borderId="0" xfId="2" applyNumberFormat="1" applyFont="1" applyFill="1" applyAlignment="1">
      <alignment horizontal="center" vertical="center"/>
    </xf>
    <xf numFmtId="164" fontId="7" fillId="7" borderId="17" xfId="2" applyNumberFormat="1" applyFont="1" applyFill="1" applyBorder="1" applyAlignment="1">
      <alignment horizontal="center" vertical="center"/>
    </xf>
    <xf numFmtId="0" fontId="3" fillId="8" borderId="16" xfId="2" applyFont="1" applyFill="1" applyBorder="1" applyAlignment="1">
      <alignment vertical="center" wrapText="1"/>
    </xf>
    <xf numFmtId="9" fontId="3" fillId="2" borderId="0" xfId="2" applyNumberFormat="1" applyFont="1" applyFill="1" applyAlignment="1">
      <alignment vertical="center"/>
    </xf>
    <xf numFmtId="1" fontId="7" fillId="9" borderId="0" xfId="2" applyNumberFormat="1" applyFont="1" applyFill="1" applyAlignment="1">
      <alignment horizontal="center" vertical="center" wrapText="1"/>
    </xf>
    <xf numFmtId="164" fontId="3" fillId="9" borderId="0" xfId="2" applyNumberFormat="1" applyFont="1" applyFill="1" applyAlignment="1">
      <alignment horizontal="center" vertical="center"/>
    </xf>
    <xf numFmtId="1" fontId="7" fillId="2" borderId="0" xfId="2" applyNumberFormat="1" applyFont="1" applyFill="1" applyAlignment="1">
      <alignment horizontal="center" vertical="center"/>
    </xf>
    <xf numFmtId="0" fontId="3" fillId="8" borderId="0" xfId="2" applyFont="1" applyFill="1" applyAlignment="1">
      <alignment horizontal="center" vertical="center" wrapText="1"/>
    </xf>
    <xf numFmtId="0" fontId="3" fillId="8" borderId="17" xfId="2" applyFont="1" applyFill="1" applyBorder="1" applyAlignment="1">
      <alignment horizontal="center" vertical="center" wrapText="1"/>
    </xf>
    <xf numFmtId="1" fontId="5" fillId="4" borderId="16" xfId="2" applyNumberFormat="1" applyFont="1" applyFill="1" applyBorder="1" applyAlignment="1">
      <alignment vertical="center" wrapText="1"/>
    </xf>
    <xf numFmtId="9" fontId="5" fillId="4" borderId="0" xfId="2" applyNumberFormat="1" applyFont="1" applyFill="1" applyAlignment="1">
      <alignment horizontal="center" vertical="center" wrapText="1"/>
    </xf>
    <xf numFmtId="1" fontId="5" fillId="4" borderId="0" xfId="2" applyNumberFormat="1" applyFont="1" applyFill="1" applyAlignment="1">
      <alignment horizontal="center" vertical="center" wrapText="1"/>
    </xf>
    <xf numFmtId="0" fontId="3" fillId="0" borderId="16" xfId="2" applyFont="1" applyBorder="1" applyAlignment="1">
      <alignment vertical="center" wrapText="1"/>
    </xf>
    <xf numFmtId="1" fontId="3" fillId="8" borderId="16" xfId="2" applyNumberFormat="1" applyFont="1" applyFill="1" applyBorder="1" applyAlignment="1">
      <alignment vertical="center" wrapText="1"/>
    </xf>
    <xf numFmtId="9" fontId="3" fillId="2" borderId="0" xfId="2" applyNumberFormat="1" applyFont="1" applyFill="1" applyAlignment="1">
      <alignment horizontal="center" vertical="center"/>
    </xf>
    <xf numFmtId="164" fontId="7" fillId="2" borderId="0" xfId="2" applyNumberFormat="1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0" fontId="1" fillId="2" borderId="0" xfId="2" applyFill="1"/>
    <xf numFmtId="0" fontId="3" fillId="2" borderId="16" xfId="2" applyFont="1" applyFill="1" applyBorder="1" applyAlignment="1">
      <alignment horizontal="left" vertical="center" wrapText="1"/>
    </xf>
    <xf numFmtId="0" fontId="3" fillId="8" borderId="16" xfId="2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left" vertical="center"/>
    </xf>
    <xf numFmtId="0" fontId="7" fillId="8" borderId="16" xfId="2" applyFont="1" applyFill="1" applyBorder="1" applyAlignment="1">
      <alignment vertical="center" wrapText="1"/>
    </xf>
    <xf numFmtId="0" fontId="7" fillId="2" borderId="16" xfId="2" applyFont="1" applyFill="1" applyBorder="1" applyAlignment="1">
      <alignment vertical="center"/>
    </xf>
    <xf numFmtId="1" fontId="7" fillId="7" borderId="16" xfId="2" applyNumberFormat="1" applyFont="1" applyFill="1" applyBorder="1" applyAlignment="1">
      <alignment vertical="center"/>
    </xf>
    <xf numFmtId="0" fontId="3" fillId="2" borderId="16" xfId="2" applyFont="1" applyFill="1" applyBorder="1" applyAlignment="1">
      <alignment vertical="center"/>
    </xf>
    <xf numFmtId="1" fontId="7" fillId="9" borderId="0" xfId="2" applyNumberFormat="1" applyFont="1" applyFill="1" applyAlignment="1">
      <alignment horizontal="center" vertical="center"/>
    </xf>
    <xf numFmtId="0" fontId="8" fillId="10" borderId="0" xfId="2" applyFont="1" applyFill="1" applyAlignment="1">
      <alignment horizontal="center" vertical="center" wrapText="1"/>
    </xf>
    <xf numFmtId="0" fontId="8" fillId="10" borderId="17" xfId="2" applyFont="1" applyFill="1" applyBorder="1" applyAlignment="1">
      <alignment horizontal="center" vertical="center" wrapText="1"/>
    </xf>
    <xf numFmtId="0" fontId="8" fillId="10" borderId="0" xfId="2" applyFont="1" applyFill="1" applyAlignment="1">
      <alignment horizontal="center" vertical="center"/>
    </xf>
    <xf numFmtId="0" fontId="8" fillId="10" borderId="16" xfId="2" applyFont="1" applyFill="1" applyBorder="1" applyAlignment="1">
      <alignment vertical="center"/>
    </xf>
    <xf numFmtId="9" fontId="8" fillId="10" borderId="0" xfId="2" applyNumberFormat="1" applyFont="1" applyFill="1" applyAlignment="1">
      <alignment vertical="center"/>
    </xf>
    <xf numFmtId="1" fontId="9" fillId="11" borderId="0" xfId="2" applyNumberFormat="1" applyFont="1" applyFill="1" applyAlignment="1">
      <alignment horizontal="center" vertical="center"/>
    </xf>
    <xf numFmtId="2" fontId="10" fillId="12" borderId="0" xfId="2" applyNumberFormat="1" applyFont="1" applyFill="1" applyAlignment="1">
      <alignment horizontal="center" vertical="center"/>
    </xf>
    <xf numFmtId="1" fontId="9" fillId="10" borderId="0" xfId="2" applyNumberFormat="1" applyFont="1" applyFill="1" applyAlignment="1">
      <alignment horizontal="center" vertical="center"/>
    </xf>
    <xf numFmtId="0" fontId="8" fillId="10" borderId="0" xfId="2" applyFont="1" applyFill="1" applyAlignment="1">
      <alignment vertical="center"/>
    </xf>
    <xf numFmtId="164" fontId="5" fillId="13" borderId="22" xfId="2" applyNumberFormat="1" applyFont="1" applyFill="1" applyBorder="1" applyAlignment="1">
      <alignment vertical="center"/>
    </xf>
    <xf numFmtId="9" fontId="5" fillId="13" borderId="23" xfId="2" applyNumberFormat="1" applyFont="1" applyFill="1" applyBorder="1" applyAlignment="1">
      <alignment vertical="center"/>
    </xf>
    <xf numFmtId="164" fontId="11" fillId="13" borderId="23" xfId="2" applyNumberFormat="1" applyFont="1" applyFill="1" applyBorder="1" applyAlignment="1">
      <alignment horizontal="center" vertical="center"/>
    </xf>
    <xf numFmtId="164" fontId="5" fillId="13" borderId="23" xfId="2" applyNumberFormat="1" applyFont="1" applyFill="1" applyBorder="1" applyAlignment="1">
      <alignment horizontal="center" vertical="center"/>
    </xf>
    <xf numFmtId="2" fontId="12" fillId="13" borderId="23" xfId="2" applyNumberFormat="1" applyFont="1" applyFill="1" applyBorder="1" applyAlignment="1">
      <alignment horizontal="center" vertical="center"/>
    </xf>
    <xf numFmtId="164" fontId="13" fillId="13" borderId="23" xfId="2" applyNumberFormat="1" applyFont="1" applyFill="1" applyBorder="1" applyAlignment="1">
      <alignment horizontal="center" vertical="center"/>
    </xf>
    <xf numFmtId="0" fontId="3" fillId="13" borderId="23" xfId="2" applyFont="1" applyFill="1" applyBorder="1" applyAlignment="1">
      <alignment horizontal="center" vertical="center"/>
    </xf>
    <xf numFmtId="0" fontId="3" fillId="13" borderId="24" xfId="2" applyFont="1" applyFill="1" applyBorder="1" applyAlignment="1">
      <alignment horizontal="center" vertical="center"/>
    </xf>
    <xf numFmtId="1" fontId="7" fillId="2" borderId="0" xfId="2" applyNumberFormat="1" applyFont="1" applyFill="1" applyAlignment="1">
      <alignment vertical="center"/>
    </xf>
    <xf numFmtId="1" fontId="7" fillId="2" borderId="0" xfId="2" applyNumberFormat="1" applyFont="1" applyFill="1" applyAlignment="1">
      <alignment horizontal="right" vertical="center"/>
    </xf>
    <xf numFmtId="1" fontId="9" fillId="10" borderId="2" xfId="2" applyNumberFormat="1" applyFont="1" applyFill="1" applyBorder="1" applyAlignment="1">
      <alignment horizontal="center" vertical="center"/>
    </xf>
    <xf numFmtId="1" fontId="9" fillId="10" borderId="3" xfId="2" applyNumberFormat="1" applyFont="1" applyFill="1" applyBorder="1" applyAlignment="1">
      <alignment horizontal="center" vertical="center"/>
    </xf>
    <xf numFmtId="1" fontId="9" fillId="10" borderId="1" xfId="2" applyNumberFormat="1" applyFont="1" applyFill="1" applyBorder="1" applyAlignment="1">
      <alignment horizontal="center" vertical="center"/>
    </xf>
    <xf numFmtId="0" fontId="9" fillId="10" borderId="2" xfId="2" applyFont="1" applyFill="1" applyBorder="1" applyAlignment="1">
      <alignment horizontal="center" vertical="center"/>
    </xf>
    <xf numFmtId="0" fontId="9" fillId="10" borderId="1" xfId="2" applyFont="1" applyFill="1" applyBorder="1" applyAlignment="1">
      <alignment horizontal="center" vertical="center"/>
    </xf>
    <xf numFmtId="1" fontId="9" fillId="10" borderId="12" xfId="2" applyNumberFormat="1" applyFont="1" applyFill="1" applyBorder="1" applyAlignment="1">
      <alignment horizontal="center" vertical="center"/>
    </xf>
    <xf numFmtId="0" fontId="9" fillId="10" borderId="12" xfId="2" applyFont="1" applyFill="1" applyBorder="1" applyAlignment="1">
      <alignment horizontal="center" vertical="center"/>
    </xf>
    <xf numFmtId="1" fontId="9" fillId="10" borderId="10" xfId="2" applyNumberFormat="1" applyFont="1" applyFill="1" applyBorder="1" applyAlignment="1">
      <alignment horizontal="center" vertical="center"/>
    </xf>
    <xf numFmtId="1" fontId="9" fillId="10" borderId="11" xfId="2" applyNumberFormat="1" applyFont="1" applyFill="1" applyBorder="1" applyAlignment="1">
      <alignment horizontal="center" vertical="center"/>
    </xf>
    <xf numFmtId="1" fontId="9" fillId="10" borderId="9" xfId="2" applyNumberFormat="1" applyFont="1" applyFill="1" applyBorder="1" applyAlignment="1">
      <alignment horizontal="center" vertical="center"/>
    </xf>
    <xf numFmtId="0" fontId="9" fillId="10" borderId="10" xfId="2" applyFont="1" applyFill="1" applyBorder="1" applyAlignment="1">
      <alignment horizontal="center" vertical="center"/>
    </xf>
    <xf numFmtId="0" fontId="9" fillId="10" borderId="9" xfId="2" applyFont="1" applyFill="1" applyBorder="1" applyAlignment="1">
      <alignment horizontal="center" vertical="center"/>
    </xf>
    <xf numFmtId="1" fontId="9" fillId="10" borderId="8" xfId="2" applyNumberFormat="1" applyFont="1" applyFill="1" applyBorder="1" applyAlignment="1">
      <alignment horizontal="center" vertical="center"/>
    </xf>
    <xf numFmtId="1" fontId="9" fillId="10" borderId="0" xfId="2" applyNumberFormat="1" applyFont="1" applyFill="1" applyAlignment="1">
      <alignment horizontal="center" vertical="center"/>
    </xf>
    <xf numFmtId="1" fontId="9" fillId="10" borderId="7" xfId="2" applyNumberFormat="1" applyFont="1" applyFill="1" applyBorder="1" applyAlignment="1">
      <alignment horizontal="center" vertical="center"/>
    </xf>
    <xf numFmtId="0" fontId="9" fillId="10" borderId="8" xfId="2" applyFont="1" applyFill="1" applyBorder="1" applyAlignment="1">
      <alignment horizontal="center" vertical="center"/>
    </xf>
    <xf numFmtId="0" fontId="9" fillId="10" borderId="7" xfId="2" applyFont="1" applyFill="1" applyBorder="1" applyAlignment="1">
      <alignment horizontal="center" vertical="center"/>
    </xf>
    <xf numFmtId="1" fontId="9" fillId="10" borderId="5" xfId="2" applyNumberFormat="1" applyFont="1" applyFill="1" applyBorder="1" applyAlignment="1">
      <alignment horizontal="center" vertical="center"/>
    </xf>
    <xf numFmtId="1" fontId="9" fillId="10" borderId="6" xfId="2" applyNumberFormat="1" applyFont="1" applyFill="1" applyBorder="1" applyAlignment="1">
      <alignment horizontal="center" vertical="center"/>
    </xf>
    <xf numFmtId="1" fontId="9" fillId="10" borderId="4" xfId="2" applyNumberFormat="1" applyFont="1" applyFill="1" applyBorder="1" applyAlignment="1">
      <alignment horizontal="center" vertical="center"/>
    </xf>
    <xf numFmtId="0" fontId="9" fillId="10" borderId="5" xfId="2" applyFont="1" applyFill="1" applyBorder="1" applyAlignment="1">
      <alignment horizontal="center" vertical="center"/>
    </xf>
    <xf numFmtId="0" fontId="9" fillId="10" borderId="4" xfId="2" applyFont="1" applyFill="1" applyBorder="1" applyAlignment="1">
      <alignment horizontal="center" vertical="center"/>
    </xf>
    <xf numFmtId="0" fontId="3" fillId="2" borderId="13" xfId="2" applyFont="1" applyFill="1" applyBorder="1" applyAlignment="1">
      <alignment horizontal="center" vertical="center"/>
    </xf>
    <xf numFmtId="0" fontId="3" fillId="2" borderId="14" xfId="2" applyFont="1" applyFill="1" applyBorder="1" applyAlignment="1">
      <alignment vertical="center"/>
    </xf>
    <xf numFmtId="1" fontId="3" fillId="2" borderId="14" xfId="2" applyNumberFormat="1" applyFont="1" applyFill="1" applyBorder="1" applyAlignment="1">
      <alignment vertical="center"/>
    </xf>
    <xf numFmtId="0" fontId="3" fillId="2" borderId="14" xfId="2" applyFont="1" applyFill="1" applyBorder="1" applyAlignment="1">
      <alignment horizontal="center" vertical="center"/>
    </xf>
    <xf numFmtId="0" fontId="3" fillId="2" borderId="15" xfId="2" applyFont="1" applyFill="1" applyBorder="1" applyAlignment="1">
      <alignment horizontal="center" vertical="center"/>
    </xf>
    <xf numFmtId="1" fontId="17" fillId="2" borderId="16" xfId="2" applyNumberFormat="1" applyFont="1" applyFill="1" applyBorder="1" applyAlignment="1">
      <alignment horizontal="center" vertical="center"/>
    </xf>
    <xf numFmtId="1" fontId="17" fillId="2" borderId="0" xfId="2" applyNumberFormat="1" applyFont="1" applyFill="1" applyAlignment="1">
      <alignment horizontal="center" vertical="center"/>
    </xf>
    <xf numFmtId="1" fontId="17" fillId="2" borderId="17" xfId="2" applyNumberFormat="1" applyFont="1" applyFill="1" applyBorder="1" applyAlignment="1">
      <alignment horizontal="center" vertical="center"/>
    </xf>
    <xf numFmtId="1" fontId="18" fillId="15" borderId="16" xfId="2" applyNumberFormat="1" applyFont="1" applyFill="1" applyBorder="1" applyAlignment="1">
      <alignment horizontal="left" vertical="center"/>
    </xf>
    <xf numFmtId="1" fontId="18" fillId="15" borderId="0" xfId="2" applyNumberFormat="1" applyFont="1" applyFill="1" applyAlignment="1">
      <alignment horizontal="center" vertical="center"/>
    </xf>
    <xf numFmtId="1" fontId="18" fillId="15" borderId="17" xfId="2" applyNumberFormat="1" applyFont="1" applyFill="1" applyBorder="1" applyAlignment="1">
      <alignment horizontal="center" vertical="center"/>
    </xf>
    <xf numFmtId="0" fontId="3" fillId="14" borderId="0" xfId="2" applyFont="1" applyFill="1" applyAlignment="1">
      <alignment horizontal="center" vertical="center" wrapText="1"/>
    </xf>
    <xf numFmtId="0" fontId="3" fillId="14" borderId="17" xfId="2" applyFont="1" applyFill="1" applyBorder="1" applyAlignment="1">
      <alignment horizontal="center" vertical="center" wrapText="1"/>
    </xf>
    <xf numFmtId="0" fontId="3" fillId="14" borderId="16" xfId="2" applyFont="1" applyFill="1" applyBorder="1" applyAlignment="1">
      <alignment vertical="center" wrapText="1"/>
    </xf>
    <xf numFmtId="164" fontId="3" fillId="17" borderId="0" xfId="2" applyNumberFormat="1" applyFont="1" applyFill="1" applyAlignment="1">
      <alignment horizontal="center" vertical="center"/>
    </xf>
    <xf numFmtId="0" fontId="8" fillId="2" borderId="16" xfId="2" applyFont="1" applyFill="1" applyBorder="1" applyAlignment="1">
      <alignment vertical="center"/>
    </xf>
    <xf numFmtId="0" fontId="8" fillId="2" borderId="0" xfId="2" applyFont="1" applyFill="1" applyAlignment="1">
      <alignment horizontal="center" vertical="center" wrapText="1"/>
    </xf>
    <xf numFmtId="0" fontId="8" fillId="2" borderId="17" xfId="2" applyFont="1" applyFill="1" applyBorder="1" applyAlignment="1">
      <alignment horizontal="center" vertical="center" wrapText="1"/>
    </xf>
    <xf numFmtId="164" fontId="8" fillId="11" borderId="0" xfId="2" applyNumberFormat="1" applyFont="1" applyFill="1" applyAlignment="1">
      <alignment horizontal="center" vertical="center"/>
    </xf>
    <xf numFmtId="1" fontId="17" fillId="2" borderId="0" xfId="0" applyNumberFormat="1" applyFont="1" applyFill="1" applyAlignment="1">
      <alignment horizontal="center" vertical="center"/>
    </xf>
    <xf numFmtId="1" fontId="17" fillId="2" borderId="0" xfId="0" applyNumberFormat="1" applyFont="1" applyFill="1" applyAlignment="1">
      <alignment horizontal="center" vertical="center"/>
    </xf>
    <xf numFmtId="1" fontId="18" fillId="15" borderId="0" xfId="0" applyNumberFormat="1" applyFont="1" applyFill="1" applyAlignment="1">
      <alignment horizontal="left" vertical="center"/>
    </xf>
    <xf numFmtId="1" fontId="18" fillId="15" borderId="0" xfId="0" applyNumberFormat="1" applyFont="1" applyFill="1" applyAlignment="1">
      <alignment horizontal="center" vertical="center"/>
    </xf>
    <xf numFmtId="0" fontId="3" fillId="14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1" fontId="9" fillId="9" borderId="0" xfId="0" applyNumberFormat="1" applyFont="1" applyFill="1" applyAlignment="1">
      <alignment horizontal="center" vertical="center"/>
    </xf>
    <xf numFmtId="164" fontId="8" fillId="9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9" fontId="8" fillId="2" borderId="0" xfId="0" applyNumberFormat="1" applyFont="1" applyFill="1" applyAlignment="1">
      <alignment vertical="center"/>
    </xf>
    <xf numFmtId="2" fontId="12" fillId="13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1" fontId="9" fillId="10" borderId="2" xfId="0" applyNumberFormat="1" applyFont="1" applyFill="1" applyBorder="1" applyAlignment="1">
      <alignment horizontal="center" vertical="center"/>
    </xf>
    <xf numFmtId="1" fontId="9" fillId="10" borderId="3" xfId="0" applyNumberFormat="1" applyFont="1" applyFill="1" applyBorder="1" applyAlignment="1">
      <alignment horizontal="center" vertical="center"/>
    </xf>
    <xf numFmtId="1" fontId="9" fillId="10" borderId="1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1" fontId="9" fillId="10" borderId="12" xfId="0" applyNumberFormat="1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1" fontId="9" fillId="10" borderId="10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" fontId="9" fillId="10" borderId="9" xfId="0" applyNumberFormat="1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1" fontId="9" fillId="10" borderId="8" xfId="0" applyNumberFormat="1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1" fontId="9" fillId="10" borderId="7" xfId="0" applyNumberFormat="1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1" fontId="9" fillId="10" borderId="5" xfId="0" applyNumberFormat="1" applyFont="1" applyFill="1" applyBorder="1" applyAlignment="1">
      <alignment horizontal="center" vertical="center"/>
    </xf>
    <xf numFmtId="1" fontId="9" fillId="10" borderId="6" xfId="0" applyNumberFormat="1" applyFont="1" applyFill="1" applyBorder="1" applyAlignment="1">
      <alignment horizontal="center" vertical="center"/>
    </xf>
    <xf numFmtId="1" fontId="9" fillId="10" borderId="4" xfId="0" applyNumberFormat="1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0" fontId="3" fillId="0" borderId="16" xfId="2" applyFont="1" applyFill="1" applyBorder="1" applyAlignment="1">
      <alignment vertical="center" wrapText="1"/>
    </xf>
    <xf numFmtId="9" fontId="7" fillId="0" borderId="0" xfId="2" applyNumberFormat="1" applyFont="1" applyFill="1" applyAlignment="1">
      <alignment horizontal="center" vertical="center"/>
    </xf>
    <xf numFmtId="164" fontId="3" fillId="0" borderId="0" xfId="2" applyNumberFormat="1" applyFont="1" applyFill="1" applyAlignment="1">
      <alignment horizontal="center" vertical="center"/>
    </xf>
    <xf numFmtId="164" fontId="7" fillId="0" borderId="0" xfId="2" applyNumberFormat="1" applyFont="1" applyFill="1" applyAlignment="1">
      <alignment horizontal="center" vertical="center"/>
    </xf>
    <xf numFmtId="164" fontId="5" fillId="0" borderId="0" xfId="2" applyNumberFormat="1" applyFont="1" applyFill="1" applyAlignment="1">
      <alignment horizontal="center" vertical="center"/>
    </xf>
    <xf numFmtId="0" fontId="7" fillId="0" borderId="0" xfId="2" applyFont="1" applyFill="1" applyAlignment="1">
      <alignment horizontal="center" vertical="center"/>
    </xf>
    <xf numFmtId="0" fontId="7" fillId="0" borderId="17" xfId="2" applyFont="1" applyFill="1" applyBorder="1" applyAlignment="1">
      <alignment horizontal="center" vertical="center"/>
    </xf>
    <xf numFmtId="1" fontId="7" fillId="0" borderId="16" xfId="2" applyNumberFormat="1" applyFont="1" applyFill="1" applyBorder="1" applyAlignment="1">
      <alignment vertical="center" wrapText="1"/>
    </xf>
    <xf numFmtId="9" fontId="3" fillId="0" borderId="0" xfId="2" applyNumberFormat="1" applyFont="1" applyFill="1" applyAlignment="1">
      <alignment horizontal="center" vertical="center"/>
    </xf>
    <xf numFmtId="1" fontId="3" fillId="0" borderId="0" xfId="2" applyNumberFormat="1" applyFont="1" applyFill="1" applyAlignment="1">
      <alignment horizontal="center" vertical="center"/>
    </xf>
    <xf numFmtId="164" fontId="7" fillId="0" borderId="17" xfId="2" applyNumberFormat="1" applyFont="1" applyFill="1" applyBorder="1" applyAlignment="1">
      <alignment horizontal="center" vertical="center"/>
    </xf>
    <xf numFmtId="9" fontId="3" fillId="0" borderId="0" xfId="2" applyNumberFormat="1" applyFont="1" applyFill="1" applyAlignment="1">
      <alignment vertical="center"/>
    </xf>
    <xf numFmtId="1" fontId="7" fillId="0" borderId="0" xfId="2" applyNumberFormat="1" applyFont="1" applyFill="1" applyAlignment="1">
      <alignment horizontal="center" vertical="center" wrapText="1"/>
    </xf>
    <xf numFmtId="1" fontId="7" fillId="0" borderId="0" xfId="2" applyNumberFormat="1" applyFont="1" applyFill="1" applyAlignment="1">
      <alignment horizontal="center" vertical="center"/>
    </xf>
    <xf numFmtId="0" fontId="3" fillId="0" borderId="0" xfId="2" applyFont="1" applyFill="1" applyAlignment="1">
      <alignment horizontal="center" vertical="center" wrapText="1"/>
    </xf>
    <xf numFmtId="0" fontId="3" fillId="0" borderId="17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A4BFDDF8-AF2F-41F2-9EC1-C4385794DD2C}"/>
    <cellStyle name="Normal 3" xfId="2" xr:uid="{CBF72AA5-91DE-4530-A8DF-15CBF99F6D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0</xdr:rowOff>
    </xdr:from>
    <xdr:to>
      <xdr:col>12</xdr:col>
      <xdr:colOff>884190</xdr:colOff>
      <xdr:row>7</xdr:row>
      <xdr:rowOff>171525</xdr:rowOff>
    </xdr:to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269946C-9BDF-4BC6-ADD4-A0147C795DB8}"/>
            </a:ext>
          </a:extLst>
        </xdr:cNvPr>
        <xdr:cNvSpPr/>
      </xdr:nvSpPr>
      <xdr:spPr>
        <a:xfrm>
          <a:off x="8677275" y="1543050"/>
          <a:ext cx="2998740" cy="171525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14</xdr:row>
      <xdr:rowOff>0</xdr:rowOff>
    </xdr:from>
    <xdr:to>
      <xdr:col>12</xdr:col>
      <xdr:colOff>884190</xdr:colOff>
      <xdr:row>14</xdr:row>
      <xdr:rowOff>171525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53817E61-A717-4F79-88FA-7AED911E2DB0}"/>
            </a:ext>
          </a:extLst>
        </xdr:cNvPr>
        <xdr:cNvSpPr/>
      </xdr:nvSpPr>
      <xdr:spPr>
        <a:xfrm>
          <a:off x="8677275" y="3467100"/>
          <a:ext cx="2998740" cy="171525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23</xdr:row>
      <xdr:rowOff>0</xdr:rowOff>
    </xdr:from>
    <xdr:to>
      <xdr:col>12</xdr:col>
      <xdr:colOff>884190</xdr:colOff>
      <xdr:row>23</xdr:row>
      <xdr:rowOff>171525</xdr:rowOff>
    </xdr:to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A0BC02F3-94DA-4C9B-8979-BFBB013303AE}"/>
            </a:ext>
          </a:extLst>
        </xdr:cNvPr>
        <xdr:cNvSpPr/>
      </xdr:nvSpPr>
      <xdr:spPr>
        <a:xfrm>
          <a:off x="8677275" y="5715000"/>
          <a:ext cx="2998740" cy="171525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884190</xdr:colOff>
      <xdr:row>30</xdr:row>
      <xdr:rowOff>171525</xdr:rowOff>
    </xdr:to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AA42D524-A6D0-4B0F-BE6B-D5A3EC089216}"/>
            </a:ext>
          </a:extLst>
        </xdr:cNvPr>
        <xdr:cNvSpPr/>
      </xdr:nvSpPr>
      <xdr:spPr>
        <a:xfrm>
          <a:off x="8677275" y="7772400"/>
          <a:ext cx="2998740" cy="171525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33121</xdr:colOff>
      <xdr:row>31</xdr:row>
      <xdr:rowOff>725</xdr:rowOff>
    </xdr:from>
    <xdr:to>
      <xdr:col>13</xdr:col>
      <xdr:colOff>9526</xdr:colOff>
      <xdr:row>31</xdr:row>
      <xdr:rowOff>161925</xdr:rowOff>
    </xdr:to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C13609A4-8EDA-4650-887B-6B298097BD50}"/>
            </a:ext>
          </a:extLst>
        </xdr:cNvPr>
        <xdr:cNvSpPr/>
      </xdr:nvSpPr>
      <xdr:spPr>
        <a:xfrm>
          <a:off x="8710396" y="8554175"/>
          <a:ext cx="3110130" cy="16120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28964</xdr:colOff>
      <xdr:row>15</xdr:row>
      <xdr:rowOff>9813</xdr:rowOff>
    </xdr:from>
    <xdr:to>
      <xdr:col>12</xdr:col>
      <xdr:colOff>971550</xdr:colOff>
      <xdr:row>15</xdr:row>
      <xdr:rowOff>152400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DC4A5688-FC43-41E4-8D1F-E0B93A952F44}"/>
            </a:ext>
          </a:extLst>
        </xdr:cNvPr>
        <xdr:cNvSpPr/>
      </xdr:nvSpPr>
      <xdr:spPr>
        <a:xfrm>
          <a:off x="8706239" y="4257963"/>
          <a:ext cx="3085711" cy="142587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11160</xdr:colOff>
      <xdr:row>8</xdr:row>
      <xdr:rowOff>66600</xdr:rowOff>
    </xdr:from>
    <xdr:to>
      <xdr:col>13</xdr:col>
      <xdr:colOff>0</xdr:colOff>
      <xdr:row>9</xdr:row>
      <xdr:rowOff>19050</xdr:rowOff>
    </xdr:to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A8E8C744-8291-47FF-9C55-9E34B2C8C198}"/>
            </a:ext>
          </a:extLst>
        </xdr:cNvPr>
        <xdr:cNvSpPr/>
      </xdr:nvSpPr>
      <xdr:spPr>
        <a:xfrm>
          <a:off x="8688435" y="2390700"/>
          <a:ext cx="3122565" cy="14295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36170</xdr:colOff>
      <xdr:row>24</xdr:row>
      <xdr:rowOff>8844</xdr:rowOff>
    </xdr:from>
    <xdr:to>
      <xdr:col>12</xdr:col>
      <xdr:colOff>971550</xdr:colOff>
      <xdr:row>24</xdr:row>
      <xdr:rowOff>142875</xdr:rowOff>
    </xdr:to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A21F6803-AF1D-4427-A83A-2B3B4FED0A5B}"/>
            </a:ext>
          </a:extLst>
        </xdr:cNvPr>
        <xdr:cNvSpPr/>
      </xdr:nvSpPr>
      <xdr:spPr>
        <a:xfrm>
          <a:off x="8713445" y="6504894"/>
          <a:ext cx="3078505" cy="134031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84016</xdr:colOff>
      <xdr:row>7</xdr:row>
      <xdr:rowOff>13758</xdr:rowOff>
    </xdr:from>
    <xdr:ext cx="3191464" cy="157692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DECE3B6-9ECE-4665-9745-7474179546E6}"/>
            </a:ext>
          </a:extLst>
        </xdr:cNvPr>
        <xdr:cNvSpPr/>
      </xdr:nvSpPr>
      <xdr:spPr>
        <a:xfrm>
          <a:off x="8742241" y="1347258"/>
          <a:ext cx="3191464" cy="157692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74080</xdr:colOff>
      <xdr:row>12</xdr:row>
      <xdr:rowOff>15874</xdr:rowOff>
    </xdr:from>
    <xdr:ext cx="3201399" cy="165102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7B70D5AC-F724-4A58-912C-06EAF4C7C2EB}"/>
            </a:ext>
          </a:extLst>
        </xdr:cNvPr>
        <xdr:cNvSpPr/>
      </xdr:nvSpPr>
      <xdr:spPr>
        <a:xfrm>
          <a:off x="8732305" y="2301874"/>
          <a:ext cx="3201399" cy="165102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95248</xdr:colOff>
      <xdr:row>23</xdr:row>
      <xdr:rowOff>5290</xdr:rowOff>
    </xdr:from>
    <xdr:ext cx="3180232" cy="17568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50053670-7312-45C4-8C0E-F12B680737DE}"/>
            </a:ext>
          </a:extLst>
        </xdr:cNvPr>
        <xdr:cNvSpPr/>
      </xdr:nvSpPr>
      <xdr:spPr>
        <a:xfrm>
          <a:off x="8753473" y="4386790"/>
          <a:ext cx="3180232" cy="175685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31749</xdr:colOff>
      <xdr:row>18</xdr:row>
      <xdr:rowOff>10599</xdr:rowOff>
    </xdr:from>
    <xdr:ext cx="3243731" cy="179901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154777A0-2E2F-4F24-AE3B-C2936143AD63}"/>
            </a:ext>
          </a:extLst>
        </xdr:cNvPr>
        <xdr:cNvSpPr/>
      </xdr:nvSpPr>
      <xdr:spPr>
        <a:xfrm>
          <a:off x="8689974" y="3439599"/>
          <a:ext cx="3243731" cy="179901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561975</xdr:colOff>
      <xdr:row>9</xdr:row>
      <xdr:rowOff>54249</xdr:rowOff>
    </xdr:from>
    <xdr:to>
      <xdr:col>12</xdr:col>
      <xdr:colOff>1104900</xdr:colOff>
      <xdr:row>9</xdr:row>
      <xdr:rowOff>304800</xdr:rowOff>
    </xdr:to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6E142E0-9B75-407F-A12F-162AF7A299A5}"/>
            </a:ext>
          </a:extLst>
        </xdr:cNvPr>
        <xdr:cNvSpPr/>
      </xdr:nvSpPr>
      <xdr:spPr>
        <a:xfrm>
          <a:off x="10353675" y="2816499"/>
          <a:ext cx="3209925" cy="250551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14</xdr:row>
      <xdr:rowOff>25674</xdr:rowOff>
    </xdr:from>
    <xdr:to>
      <xdr:col>12</xdr:col>
      <xdr:colOff>1104899</xdr:colOff>
      <xdr:row>14</xdr:row>
      <xdr:rowOff>276225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A488E701-7DE0-4F56-9F45-3EEE8F659617}"/>
            </a:ext>
          </a:extLst>
        </xdr:cNvPr>
        <xdr:cNvSpPr/>
      </xdr:nvSpPr>
      <xdr:spPr>
        <a:xfrm>
          <a:off x="10363200" y="4245249"/>
          <a:ext cx="3200399" cy="250551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28575</xdr:colOff>
      <xdr:row>19</xdr:row>
      <xdr:rowOff>49971</xdr:rowOff>
    </xdr:from>
    <xdr:to>
      <xdr:col>13</xdr:col>
      <xdr:colOff>19049</xdr:colOff>
      <xdr:row>19</xdr:row>
      <xdr:rowOff>285750</xdr:rowOff>
    </xdr:to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CC09387A-6691-4A75-9195-24A8E0127491}"/>
            </a:ext>
          </a:extLst>
        </xdr:cNvPr>
        <xdr:cNvSpPr/>
      </xdr:nvSpPr>
      <xdr:spPr>
        <a:xfrm>
          <a:off x="10391775" y="5726871"/>
          <a:ext cx="3200399" cy="235779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552451</xdr:colOff>
      <xdr:row>23</xdr:row>
      <xdr:rowOff>38100</xdr:rowOff>
    </xdr:from>
    <xdr:to>
      <xdr:col>12</xdr:col>
      <xdr:colOff>1095375</xdr:colOff>
      <xdr:row>23</xdr:row>
      <xdr:rowOff>266700</xdr:rowOff>
    </xdr:to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B9D2774A-53A1-46A6-AB38-A3B6F5D7552C}"/>
            </a:ext>
          </a:extLst>
        </xdr:cNvPr>
        <xdr:cNvSpPr/>
      </xdr:nvSpPr>
      <xdr:spPr>
        <a:xfrm>
          <a:off x="10344151" y="7143750"/>
          <a:ext cx="3209924" cy="22860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9</xdr:row>
      <xdr:rowOff>52915</xdr:rowOff>
    </xdr:from>
    <xdr:to>
      <xdr:col>12</xdr:col>
      <xdr:colOff>952500</xdr:colOff>
      <xdr:row>9</xdr:row>
      <xdr:rowOff>304800</xdr:rowOff>
    </xdr:to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24CA19F-C99A-48AE-916F-C9ED4484C3A9}"/>
            </a:ext>
          </a:extLst>
        </xdr:cNvPr>
        <xdr:cNvSpPr/>
      </xdr:nvSpPr>
      <xdr:spPr>
        <a:xfrm>
          <a:off x="9334501" y="3062815"/>
          <a:ext cx="2924174" cy="251885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1</xdr:colOff>
      <xdr:row>14</xdr:row>
      <xdr:rowOff>63498</xdr:rowOff>
    </xdr:from>
    <xdr:to>
      <xdr:col>12</xdr:col>
      <xdr:colOff>904876</xdr:colOff>
      <xdr:row>14</xdr:row>
      <xdr:rowOff>314325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871E21C-FFBE-459D-884B-3F26AACCED91}"/>
            </a:ext>
          </a:extLst>
        </xdr:cNvPr>
        <xdr:cNvSpPr/>
      </xdr:nvSpPr>
      <xdr:spPr>
        <a:xfrm>
          <a:off x="9334501" y="4530723"/>
          <a:ext cx="2876550" cy="250827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2</xdr:colOff>
      <xdr:row>25</xdr:row>
      <xdr:rowOff>63499</xdr:rowOff>
    </xdr:from>
    <xdr:to>
      <xdr:col>12</xdr:col>
      <xdr:colOff>971551</xdr:colOff>
      <xdr:row>25</xdr:row>
      <xdr:rowOff>304801</xdr:rowOff>
    </xdr:to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1325493C-A722-42F1-A103-6336B1AF8A8E}"/>
            </a:ext>
          </a:extLst>
        </xdr:cNvPr>
        <xdr:cNvSpPr/>
      </xdr:nvSpPr>
      <xdr:spPr>
        <a:xfrm>
          <a:off x="9334502" y="7388224"/>
          <a:ext cx="2943224" cy="241302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1</xdr:colOff>
      <xdr:row>19</xdr:row>
      <xdr:rowOff>10582</xdr:rowOff>
    </xdr:from>
    <xdr:to>
      <xdr:col>12</xdr:col>
      <xdr:colOff>971550</xdr:colOff>
      <xdr:row>19</xdr:row>
      <xdr:rowOff>295275</xdr:rowOff>
    </xdr:to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EC51C320-DD21-4A03-8CB6-ACEB5C2EF269}"/>
            </a:ext>
          </a:extLst>
        </xdr:cNvPr>
        <xdr:cNvSpPr/>
      </xdr:nvSpPr>
      <xdr:spPr>
        <a:xfrm>
          <a:off x="9334501" y="5820832"/>
          <a:ext cx="2943224" cy="284693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19052</xdr:colOff>
      <xdr:row>9</xdr:row>
      <xdr:rowOff>52916</xdr:rowOff>
    </xdr:from>
    <xdr:to>
      <xdr:col>12</xdr:col>
      <xdr:colOff>1076325</xdr:colOff>
      <xdr:row>10</xdr:row>
      <xdr:rowOff>1</xdr:rowOff>
    </xdr:to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ECF6E77-673A-433F-B095-FD3C251BA92E}"/>
            </a:ext>
          </a:extLst>
        </xdr:cNvPr>
        <xdr:cNvSpPr/>
      </xdr:nvSpPr>
      <xdr:spPr>
        <a:xfrm>
          <a:off x="9353552" y="3062816"/>
          <a:ext cx="3028948" cy="26141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1</xdr:colOff>
      <xdr:row>14</xdr:row>
      <xdr:rowOff>63499</xdr:rowOff>
    </xdr:from>
    <xdr:to>
      <xdr:col>12</xdr:col>
      <xdr:colOff>1066800</xdr:colOff>
      <xdr:row>14</xdr:row>
      <xdr:rowOff>323851</xdr:rowOff>
    </xdr:to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F013950B-52B4-4BC2-A5A9-8D72FAC22ADD}"/>
            </a:ext>
          </a:extLst>
        </xdr:cNvPr>
        <xdr:cNvSpPr/>
      </xdr:nvSpPr>
      <xdr:spPr>
        <a:xfrm>
          <a:off x="9334501" y="4530724"/>
          <a:ext cx="3038474" cy="260352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1</xdr:colOff>
      <xdr:row>25</xdr:row>
      <xdr:rowOff>63499</xdr:rowOff>
    </xdr:from>
    <xdr:to>
      <xdr:col>12</xdr:col>
      <xdr:colOff>1085849</xdr:colOff>
      <xdr:row>26</xdr:row>
      <xdr:rowOff>9526</xdr:rowOff>
    </xdr:to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3C9DB4B1-2BF0-422F-A43A-6B9EB7F86C7C}"/>
            </a:ext>
          </a:extLst>
        </xdr:cNvPr>
        <xdr:cNvSpPr/>
      </xdr:nvSpPr>
      <xdr:spPr>
        <a:xfrm>
          <a:off x="9334501" y="7388224"/>
          <a:ext cx="3057523" cy="260352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1</xdr:colOff>
      <xdr:row>19</xdr:row>
      <xdr:rowOff>10585</xdr:rowOff>
    </xdr:from>
    <xdr:to>
      <xdr:col>12</xdr:col>
      <xdr:colOff>1047750</xdr:colOff>
      <xdr:row>19</xdr:row>
      <xdr:rowOff>304800</xdr:rowOff>
    </xdr:to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CBE1C9BC-03BB-4972-AA0B-CC6178ED6C60}"/>
            </a:ext>
          </a:extLst>
        </xdr:cNvPr>
        <xdr:cNvSpPr/>
      </xdr:nvSpPr>
      <xdr:spPr>
        <a:xfrm>
          <a:off x="9334501" y="5820835"/>
          <a:ext cx="3019424" cy="294215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31749</xdr:colOff>
      <xdr:row>18</xdr:row>
      <xdr:rowOff>11718</xdr:rowOff>
    </xdr:from>
    <xdr:to>
      <xdr:col>12</xdr:col>
      <xdr:colOff>704851</xdr:colOff>
      <xdr:row>19</xdr:row>
      <xdr:rowOff>20170</xdr:rowOff>
    </xdr:to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453F2756-D158-415B-A04D-75E0D6F6E730}"/>
            </a:ext>
          </a:extLst>
        </xdr:cNvPr>
        <xdr:cNvSpPr/>
      </xdr:nvSpPr>
      <xdr:spPr>
        <a:xfrm>
          <a:off x="8642349" y="4917093"/>
          <a:ext cx="2806702" cy="198952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23</xdr:row>
      <xdr:rowOff>20022</xdr:rowOff>
    </xdr:from>
    <xdr:to>
      <xdr:col>12</xdr:col>
      <xdr:colOff>742950</xdr:colOff>
      <xdr:row>24</xdr:row>
      <xdr:rowOff>42582</xdr:rowOff>
    </xdr:to>
    <xdr:sp macro="" textlink="">
      <xdr:nvSpPr>
        <xdr:cNvPr id="3" name="Shape 7">
          <a:extLst>
            <a:ext uri="{FF2B5EF4-FFF2-40B4-BE49-F238E27FC236}">
              <a16:creationId xmlns:a16="http://schemas.microsoft.com/office/drawing/2014/main" id="{AEBA04C8-1EF9-498B-8E61-BDC99A6A7F50}"/>
            </a:ext>
          </a:extLst>
        </xdr:cNvPr>
        <xdr:cNvSpPr/>
      </xdr:nvSpPr>
      <xdr:spPr>
        <a:xfrm>
          <a:off x="8610600" y="6154122"/>
          <a:ext cx="2876550" cy="21306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21166</xdr:colOff>
      <xdr:row>7</xdr:row>
      <xdr:rowOff>18050</xdr:rowOff>
    </xdr:from>
    <xdr:to>
      <xdr:col>12</xdr:col>
      <xdr:colOff>723899</xdr:colOff>
      <xdr:row>8</xdr:row>
      <xdr:rowOff>20170</xdr:rowOff>
    </xdr:to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64D9545C-72B3-49F6-BCE1-B82B0DA5B75D}"/>
            </a:ext>
          </a:extLst>
        </xdr:cNvPr>
        <xdr:cNvSpPr/>
      </xdr:nvSpPr>
      <xdr:spPr>
        <a:xfrm>
          <a:off x="8631766" y="1818275"/>
          <a:ext cx="2836333" cy="19262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21165</xdr:colOff>
      <xdr:row>12</xdr:row>
      <xdr:rowOff>18051</xdr:rowOff>
    </xdr:from>
    <xdr:to>
      <xdr:col>12</xdr:col>
      <xdr:colOff>752474</xdr:colOff>
      <xdr:row>13</xdr:row>
      <xdr:rowOff>1120</xdr:rowOff>
    </xdr:to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4A37FA32-DFCE-4E59-8C7E-A93244A86544}"/>
            </a:ext>
          </a:extLst>
        </xdr:cNvPr>
        <xdr:cNvSpPr/>
      </xdr:nvSpPr>
      <xdr:spPr>
        <a:xfrm>
          <a:off x="8631765" y="3304176"/>
          <a:ext cx="2864909" cy="173569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F0000"/>
            </a:gs>
            <a:gs pos="44000">
              <a:srgbClr val="FFC000"/>
            </a:gs>
            <a:gs pos="100000">
              <a:srgbClr val="00B050"/>
            </a:gs>
          </a:gsLst>
          <a:lin ang="0"/>
        </a:gradFill>
        <a:ln w="12700">
          <a:solidFill>
            <a:srgbClr val="263238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5655-CD9B-4853-8BF5-3240036C4F51}">
  <dimension ref="A1:X42"/>
  <sheetViews>
    <sheetView tabSelected="1" topLeftCell="A16" zoomScale="85" zoomScaleNormal="85" workbookViewId="0">
      <selection activeCell="B45" sqref="B45"/>
    </sheetView>
  </sheetViews>
  <sheetFormatPr defaultColWidth="14.42578125" defaultRowHeight="15" x14ac:dyDescent="0.25"/>
  <cols>
    <col min="1" max="1" width="2.42578125" customWidth="1"/>
    <col min="2" max="2" width="65.5703125" customWidth="1"/>
    <col min="3" max="3" width="6.42578125" customWidth="1"/>
    <col min="4" max="4" width="12.28515625" customWidth="1"/>
    <col min="5" max="8" width="8.7109375" customWidth="1"/>
    <col min="9" max="9" width="8.5703125" customWidth="1"/>
    <col min="10" max="10" width="2.42578125" customWidth="1"/>
    <col min="12" max="12" width="14.85546875" customWidth="1"/>
    <col min="13" max="13" width="13.5703125" customWidth="1"/>
    <col min="14" max="15" width="2.42578125" customWidth="1"/>
    <col min="16" max="18" width="9" customWidth="1"/>
    <col min="19" max="19" width="5.28515625" customWidth="1"/>
  </cols>
  <sheetData>
    <row r="1" spans="1:24" x14ac:dyDescent="0.25">
      <c r="A1" s="1"/>
      <c r="N1" s="2"/>
      <c r="O1" s="2"/>
      <c r="P1" s="2"/>
      <c r="Q1" s="2"/>
      <c r="R1" s="2"/>
      <c r="S1" s="2"/>
    </row>
    <row r="2" spans="1:24" ht="21.75" customHeight="1" x14ac:dyDescent="0.25">
      <c r="A2" s="1"/>
      <c r="B2" s="3" t="s">
        <v>58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</row>
    <row r="3" spans="1:24" x14ac:dyDescent="0.25">
      <c r="A3" s="1"/>
      <c r="B3" s="4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  <c r="O3" s="2"/>
      <c r="P3" s="2"/>
      <c r="Q3" s="2"/>
      <c r="R3" s="2"/>
      <c r="S3" s="2"/>
    </row>
    <row r="4" spans="1:24" ht="21" customHeight="1" x14ac:dyDescent="0.25">
      <c r="A4" s="1"/>
      <c r="B4" s="5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"/>
      <c r="O4" s="2"/>
      <c r="P4" s="2"/>
      <c r="Q4" s="2"/>
      <c r="R4" s="2"/>
      <c r="S4" s="2"/>
    </row>
    <row r="5" spans="1:24" ht="8.25" customHeight="1" x14ac:dyDescent="0.25">
      <c r="A5" s="1"/>
      <c r="B5" s="1"/>
      <c r="C5" s="2"/>
      <c r="D5" s="2"/>
      <c r="E5" s="6"/>
      <c r="F5" s="6"/>
      <c r="G5" s="6"/>
      <c r="H5" s="6"/>
      <c r="I5" s="6"/>
      <c r="J5" s="2"/>
      <c r="K5" s="1"/>
      <c r="L5" s="1"/>
      <c r="M5" s="1"/>
      <c r="N5" s="2"/>
      <c r="O5" s="2"/>
      <c r="P5" s="2"/>
      <c r="Q5" s="2"/>
      <c r="R5" s="2"/>
      <c r="S5" s="2"/>
    </row>
    <row r="6" spans="1:24" x14ac:dyDescent="0.25">
      <c r="A6" s="1"/>
      <c r="B6" s="7" t="s">
        <v>2</v>
      </c>
      <c r="C6" s="8" t="s">
        <v>3</v>
      </c>
      <c r="D6" s="9" t="s">
        <v>4</v>
      </c>
      <c r="E6" s="10" t="s">
        <v>5</v>
      </c>
      <c r="F6" s="10" t="s">
        <v>6</v>
      </c>
      <c r="G6" s="10" t="s">
        <v>7</v>
      </c>
      <c r="H6" s="10" t="s">
        <v>8</v>
      </c>
      <c r="I6" s="10"/>
      <c r="J6" s="10"/>
      <c r="K6" s="10" t="s">
        <v>9</v>
      </c>
      <c r="L6" s="10" t="s">
        <v>10</v>
      </c>
      <c r="M6" s="10" t="s">
        <v>11</v>
      </c>
      <c r="N6" s="2"/>
      <c r="O6" s="2"/>
      <c r="P6" s="11"/>
      <c r="Q6" s="2"/>
      <c r="R6" s="2"/>
      <c r="S6" s="2"/>
      <c r="T6" s="2"/>
      <c r="U6" s="2"/>
      <c r="V6" s="2"/>
      <c r="W6" s="2"/>
      <c r="X6" s="2"/>
    </row>
    <row r="7" spans="1:24" ht="25.5" x14ac:dyDescent="0.25">
      <c r="A7" s="1"/>
      <c r="B7" s="12" t="s">
        <v>12</v>
      </c>
      <c r="C7" s="13">
        <v>0.3</v>
      </c>
      <c r="D7" s="14"/>
      <c r="E7" s="15">
        <f>IF(ISERROR(AVERAGE(E9:E12))," ",AVERAGE(E9:E12))</f>
        <v>3</v>
      </c>
      <c r="F7" s="15">
        <f t="shared" ref="F7:H7" si="0">IF(ISERROR(AVERAGE(F9:F12))," ",AVERAGE(F9:F12))</f>
        <v>3</v>
      </c>
      <c r="G7" s="15">
        <f t="shared" si="0"/>
        <v>3</v>
      </c>
      <c r="H7" s="15">
        <f t="shared" si="0"/>
        <v>3</v>
      </c>
      <c r="I7" s="10"/>
      <c r="J7" s="15"/>
      <c r="K7" s="16">
        <v>1</v>
      </c>
      <c r="L7" s="16">
        <v>2</v>
      </c>
      <c r="M7" s="16">
        <v>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1"/>
      <c r="B8" s="17" t="s">
        <v>13</v>
      </c>
      <c r="C8" s="18"/>
      <c r="D8" s="19"/>
      <c r="E8" s="20"/>
      <c r="F8" s="20"/>
      <c r="G8" s="20"/>
      <c r="H8" s="20"/>
      <c r="I8" s="10"/>
      <c r="J8" s="20"/>
      <c r="K8" s="20"/>
      <c r="L8" s="20"/>
      <c r="M8" s="20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38.25" x14ac:dyDescent="0.25">
      <c r="A9" s="1">
        <v>1</v>
      </c>
      <c r="B9" s="21" t="s">
        <v>14</v>
      </c>
      <c r="C9" s="22"/>
      <c r="D9" s="23" t="s">
        <v>15</v>
      </c>
      <c r="E9" s="24">
        <v>3</v>
      </c>
      <c r="F9" s="24">
        <v>3</v>
      </c>
      <c r="G9" s="24">
        <v>3</v>
      </c>
      <c r="H9" s="24">
        <v>3</v>
      </c>
      <c r="I9" s="10"/>
      <c r="J9" s="25"/>
      <c r="K9" s="26" t="s">
        <v>16</v>
      </c>
      <c r="L9" s="26" t="s">
        <v>17</v>
      </c>
      <c r="M9" s="26" t="s">
        <v>18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38.25" x14ac:dyDescent="0.25">
      <c r="A10" s="1">
        <v>2</v>
      </c>
      <c r="B10" s="12" t="s">
        <v>19</v>
      </c>
      <c r="C10" s="22"/>
      <c r="D10" s="23" t="s">
        <v>15</v>
      </c>
      <c r="E10" s="24">
        <v>3</v>
      </c>
      <c r="F10" s="24">
        <v>3</v>
      </c>
      <c r="G10" s="24">
        <v>3</v>
      </c>
      <c r="H10" s="24">
        <v>3</v>
      </c>
      <c r="I10" s="10"/>
      <c r="J10" s="25"/>
      <c r="K10" s="26" t="s">
        <v>16</v>
      </c>
      <c r="L10" s="26" t="s">
        <v>17</v>
      </c>
      <c r="M10" s="26" t="s">
        <v>18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A11" s="1">
        <v>3</v>
      </c>
      <c r="B11" s="12" t="s">
        <v>20</v>
      </c>
      <c r="C11" s="22"/>
      <c r="D11" s="23" t="s">
        <v>15</v>
      </c>
      <c r="E11" s="24">
        <v>3</v>
      </c>
      <c r="F11" s="24">
        <v>3</v>
      </c>
      <c r="G11" s="24">
        <v>3</v>
      </c>
      <c r="H11" s="24">
        <v>3</v>
      </c>
      <c r="I11" s="10"/>
      <c r="J11" s="25"/>
      <c r="K11" s="26" t="s">
        <v>16</v>
      </c>
      <c r="L11" s="26" t="s">
        <v>17</v>
      </c>
      <c r="M11" s="26" t="s">
        <v>18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A12" s="1">
        <v>4</v>
      </c>
      <c r="B12" s="21" t="s">
        <v>21</v>
      </c>
      <c r="C12" s="22"/>
      <c r="D12" s="23" t="s">
        <v>15</v>
      </c>
      <c r="E12" s="24">
        <v>3</v>
      </c>
      <c r="F12" s="24">
        <v>3</v>
      </c>
      <c r="G12" s="24">
        <v>3</v>
      </c>
      <c r="H12" s="24">
        <v>3</v>
      </c>
      <c r="I12" s="10"/>
      <c r="J12" s="25"/>
      <c r="K12" s="26" t="s">
        <v>16</v>
      </c>
      <c r="L12" s="26" t="s">
        <v>17</v>
      </c>
      <c r="M12" s="26" t="s">
        <v>18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A13" s="2"/>
      <c r="B13" s="27" t="s">
        <v>22</v>
      </c>
      <c r="C13" s="28" t="s">
        <v>3</v>
      </c>
      <c r="D13" s="29" t="s">
        <v>4</v>
      </c>
      <c r="E13" s="10" t="s">
        <v>5</v>
      </c>
      <c r="F13" s="10" t="s">
        <v>6</v>
      </c>
      <c r="G13" s="10" t="s">
        <v>7</v>
      </c>
      <c r="H13" s="10" t="s">
        <v>8</v>
      </c>
      <c r="I13" s="10"/>
      <c r="J13" s="10"/>
      <c r="K13" s="10" t="s">
        <v>9</v>
      </c>
      <c r="L13" s="10" t="s">
        <v>10</v>
      </c>
      <c r="M13" s="10" t="s">
        <v>11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2"/>
      <c r="B14" s="30" t="s">
        <v>23</v>
      </c>
      <c r="C14" s="13">
        <v>0.3</v>
      </c>
      <c r="D14" s="14"/>
      <c r="E14" s="15">
        <f>IF(ISERROR(AVERAGE(E16:E21))," ",AVERAGE(E16:E21))</f>
        <v>3</v>
      </c>
      <c r="F14" s="15">
        <f t="shared" ref="F14:H14" si="1">IF(ISERROR(AVERAGE(F16:F21))," ",AVERAGE(F16:F21))</f>
        <v>3</v>
      </c>
      <c r="G14" s="15">
        <f t="shared" si="1"/>
        <v>3</v>
      </c>
      <c r="H14" s="15">
        <f t="shared" si="1"/>
        <v>3</v>
      </c>
      <c r="I14" s="10"/>
      <c r="J14" s="15"/>
      <c r="K14" s="16">
        <v>1</v>
      </c>
      <c r="L14" s="16">
        <v>2</v>
      </c>
      <c r="M14" s="16">
        <v>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 s="2"/>
      <c r="B15" s="17" t="s">
        <v>13</v>
      </c>
      <c r="C15" s="18"/>
      <c r="D15" s="19"/>
      <c r="E15" s="20"/>
      <c r="F15" s="20"/>
      <c r="G15" s="20"/>
      <c r="H15" s="20"/>
      <c r="I15" s="10"/>
      <c r="J15" s="20"/>
      <c r="K15" s="20"/>
      <c r="L15" s="20"/>
      <c r="M15" s="2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s="35" customFormat="1" ht="25.5" x14ac:dyDescent="0.25">
      <c r="A16" s="2">
        <v>1</v>
      </c>
      <c r="B16" s="31" t="s">
        <v>24</v>
      </c>
      <c r="C16" s="32"/>
      <c r="D16" s="23" t="s">
        <v>15</v>
      </c>
      <c r="E16" s="24">
        <v>3</v>
      </c>
      <c r="F16" s="24">
        <v>3</v>
      </c>
      <c r="G16" s="24">
        <v>3</v>
      </c>
      <c r="H16" s="24">
        <v>3</v>
      </c>
      <c r="I16" s="10"/>
      <c r="J16" s="33"/>
      <c r="K16" s="26" t="s">
        <v>16</v>
      </c>
      <c r="L16" s="26" t="s">
        <v>17</v>
      </c>
      <c r="M16" s="26" t="s">
        <v>18</v>
      </c>
      <c r="N16" s="2"/>
      <c r="O16" s="34"/>
      <c r="P16" s="34"/>
      <c r="Q16" s="34"/>
      <c r="R16" s="34"/>
      <c r="S16" s="34"/>
      <c r="T16" s="2"/>
      <c r="U16" s="2"/>
      <c r="V16" s="2"/>
      <c r="W16" s="2"/>
      <c r="X16" s="2"/>
    </row>
    <row r="17" spans="1:24" s="35" customFormat="1" x14ac:dyDescent="0.25">
      <c r="A17" s="2">
        <v>2</v>
      </c>
      <c r="B17" s="31" t="s">
        <v>25</v>
      </c>
      <c r="C17" s="32"/>
      <c r="D17" s="23" t="s">
        <v>15</v>
      </c>
      <c r="E17" s="24">
        <v>3</v>
      </c>
      <c r="F17" s="24">
        <v>3</v>
      </c>
      <c r="G17" s="24">
        <v>3</v>
      </c>
      <c r="H17" s="24">
        <v>3</v>
      </c>
      <c r="I17" s="10"/>
      <c r="J17" s="33"/>
      <c r="K17" s="26" t="s">
        <v>16</v>
      </c>
      <c r="L17" s="26" t="s">
        <v>17</v>
      </c>
      <c r="M17" s="26" t="s">
        <v>18</v>
      </c>
      <c r="N17" s="2"/>
      <c r="O17" s="34"/>
      <c r="P17" s="34"/>
      <c r="Q17" s="34"/>
      <c r="R17" s="34"/>
      <c r="S17" s="34"/>
      <c r="T17" s="2"/>
      <c r="U17" s="2"/>
      <c r="V17" s="2"/>
      <c r="W17" s="2"/>
      <c r="X17" s="2"/>
    </row>
    <row r="18" spans="1:24" s="35" customFormat="1" ht="25.5" x14ac:dyDescent="0.25">
      <c r="A18" s="2">
        <v>3</v>
      </c>
      <c r="B18" s="31" t="s">
        <v>26</v>
      </c>
      <c r="C18" s="32"/>
      <c r="D18" s="23" t="s">
        <v>15</v>
      </c>
      <c r="E18" s="24">
        <v>3</v>
      </c>
      <c r="F18" s="24">
        <v>3</v>
      </c>
      <c r="G18" s="24">
        <v>3</v>
      </c>
      <c r="H18" s="24">
        <v>3</v>
      </c>
      <c r="I18" s="10"/>
      <c r="J18" s="33"/>
      <c r="K18" s="26" t="s">
        <v>16</v>
      </c>
      <c r="L18" s="26" t="s">
        <v>17</v>
      </c>
      <c r="M18" s="26" t="s">
        <v>18</v>
      </c>
      <c r="N18" s="2"/>
      <c r="O18" s="34"/>
      <c r="P18" s="34"/>
      <c r="Q18" s="34"/>
      <c r="R18" s="34"/>
      <c r="S18" s="34"/>
      <c r="T18" s="2"/>
      <c r="U18" s="2"/>
      <c r="V18" s="2"/>
      <c r="W18" s="2"/>
      <c r="X18" s="2"/>
    </row>
    <row r="19" spans="1:24" ht="25.5" x14ac:dyDescent="0.25">
      <c r="A19" s="2">
        <v>4</v>
      </c>
      <c r="B19" s="21" t="s">
        <v>27</v>
      </c>
      <c r="C19" s="22"/>
      <c r="D19" s="23" t="s">
        <v>15</v>
      </c>
      <c r="E19" s="24">
        <v>3</v>
      </c>
      <c r="F19" s="24">
        <v>3</v>
      </c>
      <c r="G19" s="24">
        <v>3</v>
      </c>
      <c r="H19" s="24">
        <v>3</v>
      </c>
      <c r="I19" s="10"/>
      <c r="J19" s="25"/>
      <c r="K19" s="26" t="s">
        <v>16</v>
      </c>
      <c r="L19" s="26" t="s">
        <v>17</v>
      </c>
      <c r="M19" s="26" t="s">
        <v>18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5.5" x14ac:dyDescent="0.25">
      <c r="A20" s="2">
        <v>5</v>
      </c>
      <c r="B20" s="21" t="s">
        <v>28</v>
      </c>
      <c r="C20" s="22"/>
      <c r="D20" s="23" t="s">
        <v>15</v>
      </c>
      <c r="E20" s="24">
        <v>3</v>
      </c>
      <c r="F20" s="24">
        <v>3</v>
      </c>
      <c r="G20" s="24">
        <v>3</v>
      </c>
      <c r="H20" s="24">
        <v>3</v>
      </c>
      <c r="I20" s="10"/>
      <c r="J20" s="25"/>
      <c r="K20" s="26" t="s">
        <v>16</v>
      </c>
      <c r="L20" s="26" t="s">
        <v>17</v>
      </c>
      <c r="M20" s="26" t="s">
        <v>18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2">
        <v>6</v>
      </c>
      <c r="B21" s="21" t="s">
        <v>29</v>
      </c>
      <c r="C21" s="22"/>
      <c r="D21" s="23" t="s">
        <v>15</v>
      </c>
      <c r="E21" s="24">
        <v>3</v>
      </c>
      <c r="F21" s="24">
        <v>3</v>
      </c>
      <c r="G21" s="24">
        <v>3</v>
      </c>
      <c r="H21" s="24">
        <v>3</v>
      </c>
      <c r="I21" s="10"/>
      <c r="J21" s="25"/>
      <c r="K21" s="26" t="s">
        <v>16</v>
      </c>
      <c r="L21" s="26" t="s">
        <v>17</v>
      </c>
      <c r="M21" s="26" t="s">
        <v>18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2"/>
      <c r="B22" s="27" t="s">
        <v>30</v>
      </c>
      <c r="C22" s="28" t="s">
        <v>3</v>
      </c>
      <c r="D22" s="29" t="s">
        <v>4</v>
      </c>
      <c r="E22" s="10" t="s">
        <v>5</v>
      </c>
      <c r="F22" s="10" t="s">
        <v>6</v>
      </c>
      <c r="G22" s="10" t="s">
        <v>7</v>
      </c>
      <c r="H22" s="10" t="s">
        <v>8</v>
      </c>
      <c r="I22" s="10"/>
      <c r="J22" s="10"/>
      <c r="K22" s="10" t="s">
        <v>9</v>
      </c>
      <c r="L22" s="10" t="s">
        <v>10</v>
      </c>
      <c r="M22" s="10" t="s">
        <v>11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2"/>
      <c r="B23" s="36" t="s">
        <v>31</v>
      </c>
      <c r="C23" s="13">
        <v>0.3</v>
      </c>
      <c r="D23" s="14"/>
      <c r="E23" s="15">
        <f>IF(ISERROR(AVERAGE(E25:E28))," ",AVERAGE(E25:E28))</f>
        <v>3</v>
      </c>
      <c r="F23" s="15">
        <f>IF(ISERROR(AVERAGE(F25:F28))," ",AVERAGE(F25:F28))</f>
        <v>3</v>
      </c>
      <c r="G23" s="15">
        <f t="shared" ref="G23:H23" si="2">IF(ISERROR(AVERAGE(G25:G28))," ",AVERAGE(G25:G28))</f>
        <v>3</v>
      </c>
      <c r="H23" s="15">
        <f t="shared" si="2"/>
        <v>3</v>
      </c>
      <c r="I23" s="10"/>
      <c r="J23" s="15"/>
      <c r="K23" s="16">
        <v>1</v>
      </c>
      <c r="L23" s="16">
        <v>2</v>
      </c>
      <c r="M23" s="16">
        <v>3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2"/>
      <c r="B24" s="17" t="s">
        <v>13</v>
      </c>
      <c r="C24" s="18"/>
      <c r="D24" s="19"/>
      <c r="E24" s="20"/>
      <c r="F24" s="20"/>
      <c r="G24" s="20"/>
      <c r="H24" s="20"/>
      <c r="I24" s="10"/>
      <c r="J24" s="20"/>
      <c r="K24" s="20"/>
      <c r="L24" s="20"/>
      <c r="M24" s="2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2">
        <v>1</v>
      </c>
      <c r="B25" s="37" t="s">
        <v>32</v>
      </c>
      <c r="C25" s="22"/>
      <c r="D25" s="23" t="s">
        <v>15</v>
      </c>
      <c r="E25" s="24">
        <v>3</v>
      </c>
      <c r="F25" s="24">
        <v>3</v>
      </c>
      <c r="G25" s="24">
        <v>3</v>
      </c>
      <c r="H25" s="24">
        <v>3</v>
      </c>
      <c r="I25" s="10"/>
      <c r="J25" s="25"/>
      <c r="K25" s="26" t="s">
        <v>16</v>
      </c>
      <c r="L25" s="26" t="s">
        <v>17</v>
      </c>
      <c r="M25" s="26" t="s">
        <v>18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5.5" x14ac:dyDescent="0.25">
      <c r="A26" s="2">
        <v>2</v>
      </c>
      <c r="B26" s="21" t="s">
        <v>33</v>
      </c>
      <c r="C26" s="22"/>
      <c r="D26" s="23" t="s">
        <v>15</v>
      </c>
      <c r="E26" s="24">
        <v>3</v>
      </c>
      <c r="F26" s="24">
        <v>3</v>
      </c>
      <c r="G26" s="24">
        <v>3</v>
      </c>
      <c r="H26" s="24">
        <v>3</v>
      </c>
      <c r="I26" s="10"/>
      <c r="J26" s="25"/>
      <c r="K26" s="26" t="s">
        <v>16</v>
      </c>
      <c r="L26" s="26" t="s">
        <v>17</v>
      </c>
      <c r="M26" s="26" t="s">
        <v>18</v>
      </c>
      <c r="N26" s="2"/>
      <c r="O26" s="38"/>
      <c r="P26" s="2"/>
      <c r="Q26" s="2"/>
      <c r="R26" s="2"/>
      <c r="S26" s="2"/>
      <c r="T26" s="2"/>
      <c r="U26" s="2"/>
      <c r="V26" s="2"/>
      <c r="W26" s="2"/>
      <c r="X26" s="2"/>
    </row>
    <row r="27" spans="1:24" ht="25.5" x14ac:dyDescent="0.25">
      <c r="A27" s="2">
        <v>3</v>
      </c>
      <c r="B27" s="39" t="s">
        <v>34</v>
      </c>
      <c r="C27" s="22"/>
      <c r="D27" s="23" t="s">
        <v>15</v>
      </c>
      <c r="E27" s="24">
        <v>3</v>
      </c>
      <c r="F27" s="24">
        <v>3</v>
      </c>
      <c r="G27" s="24">
        <v>3</v>
      </c>
      <c r="H27" s="24">
        <v>3</v>
      </c>
      <c r="I27" s="10"/>
      <c r="J27" s="25"/>
      <c r="K27" s="26" t="s">
        <v>35</v>
      </c>
      <c r="L27" s="26" t="s">
        <v>36</v>
      </c>
      <c r="M27" s="26" t="s">
        <v>37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51" x14ac:dyDescent="0.25">
      <c r="A28" s="2">
        <v>4</v>
      </c>
      <c r="B28" s="39" t="s">
        <v>38</v>
      </c>
      <c r="C28" s="22"/>
      <c r="D28" s="23" t="s">
        <v>15</v>
      </c>
      <c r="E28" s="24">
        <v>3</v>
      </c>
      <c r="F28" s="24">
        <v>3</v>
      </c>
      <c r="G28" s="24">
        <v>3</v>
      </c>
      <c r="H28" s="24">
        <v>3</v>
      </c>
      <c r="I28" s="10"/>
      <c r="J28" s="25"/>
      <c r="K28" s="26" t="s">
        <v>35</v>
      </c>
      <c r="L28" s="26" t="s">
        <v>36</v>
      </c>
      <c r="M28" s="26" t="s">
        <v>37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 s="1"/>
      <c r="B29" s="7" t="s">
        <v>39</v>
      </c>
      <c r="C29" s="8" t="s">
        <v>3</v>
      </c>
      <c r="D29" s="9" t="s">
        <v>4</v>
      </c>
      <c r="E29" s="10" t="s">
        <v>5</v>
      </c>
      <c r="F29" s="10" t="s">
        <v>6</v>
      </c>
      <c r="G29" s="10" t="s">
        <v>7</v>
      </c>
      <c r="H29" s="10" t="s">
        <v>8</v>
      </c>
      <c r="I29" s="10"/>
      <c r="J29" s="10"/>
      <c r="K29" s="10" t="s">
        <v>9</v>
      </c>
      <c r="L29" s="10" t="s">
        <v>10</v>
      </c>
      <c r="M29" s="10" t="s">
        <v>11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5">
      <c r="A30" s="1"/>
      <c r="B30" s="11" t="s">
        <v>40</v>
      </c>
      <c r="C30" s="13">
        <v>0.1</v>
      </c>
      <c r="D30" s="14"/>
      <c r="E30" s="15">
        <f>IF(ISERROR(AVERAGE(E32:E33))," ",AVERAGE(E32:E33))</f>
        <v>3</v>
      </c>
      <c r="F30" s="15">
        <f>IF(ISERROR(AVERAGE(F32:F33))," ",AVERAGE(F32:F33))</f>
        <v>3</v>
      </c>
      <c r="G30" s="15">
        <f t="shared" ref="G30:H30" si="3">IF(ISERROR(AVERAGE(G32:G33))," ",AVERAGE(G32:G33))</f>
        <v>3</v>
      </c>
      <c r="H30" s="15">
        <f t="shared" si="3"/>
        <v>3</v>
      </c>
      <c r="I30" s="10"/>
      <c r="J30" s="15"/>
      <c r="K30" s="16">
        <v>1</v>
      </c>
      <c r="L30" s="16">
        <v>2</v>
      </c>
      <c r="M30" s="16">
        <v>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5">
      <c r="A31" s="1"/>
      <c r="B31" s="40" t="s">
        <v>13</v>
      </c>
      <c r="C31" s="18"/>
      <c r="D31" s="19"/>
      <c r="E31" s="20"/>
      <c r="F31" s="20"/>
      <c r="G31" s="20"/>
      <c r="H31" s="20"/>
      <c r="I31" s="10"/>
      <c r="J31" s="20"/>
      <c r="K31" s="20"/>
      <c r="L31" s="20"/>
      <c r="M31" s="20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A32" s="1"/>
      <c r="B32" s="2" t="s">
        <v>40</v>
      </c>
      <c r="C32" s="22"/>
      <c r="D32" s="41" t="s">
        <v>41</v>
      </c>
      <c r="E32" s="24">
        <v>3</v>
      </c>
      <c r="F32" s="24">
        <v>3</v>
      </c>
      <c r="G32" s="24">
        <v>3</v>
      </c>
      <c r="H32" s="24">
        <v>3</v>
      </c>
      <c r="I32" s="10"/>
      <c r="J32" s="25"/>
      <c r="K32" s="42" t="s">
        <v>42</v>
      </c>
      <c r="L32" s="42" t="s">
        <v>43</v>
      </c>
      <c r="M32" s="42"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30" customHeight="1" x14ac:dyDescent="0.25">
      <c r="A33" s="43"/>
      <c r="B33" s="44" t="s">
        <v>44</v>
      </c>
      <c r="C33" s="45"/>
      <c r="D33" s="46" t="s">
        <v>41</v>
      </c>
      <c r="E33" s="24">
        <v>3</v>
      </c>
      <c r="F33" s="24">
        <v>3</v>
      </c>
      <c r="G33" s="24">
        <v>3</v>
      </c>
      <c r="H33" s="24">
        <v>3</v>
      </c>
      <c r="I33" s="47"/>
      <c r="J33" s="48"/>
      <c r="K33" s="42" t="s">
        <v>45</v>
      </c>
      <c r="L33" s="42" t="s">
        <v>46</v>
      </c>
      <c r="M33" s="42" t="s">
        <v>47</v>
      </c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  <row r="34" spans="1:24" ht="15.75" x14ac:dyDescent="0.25">
      <c r="A34" s="1"/>
      <c r="B34" s="49" t="s">
        <v>48</v>
      </c>
      <c r="C34" s="50">
        <f>SUM(C7:C33)</f>
        <v>0.99999999999999989</v>
      </c>
      <c r="D34" s="51"/>
      <c r="E34" s="52">
        <f>(E7*$C$7)+(E14*$C$14)+(E23*$C$23)+(E30*$C$30)</f>
        <v>3</v>
      </c>
      <c r="F34" s="52">
        <f>(F7*$C$7)+(F14*$C$14)+(F23*$C$23)+(F30*$C$30)</f>
        <v>3</v>
      </c>
      <c r="G34" s="52">
        <f t="shared" ref="G34:H34" si="4">(G7*$C$7)+(G14*$C$14)+(G23*$C$23)+(G30*$C$30)</f>
        <v>3</v>
      </c>
      <c r="H34" s="52">
        <f t="shared" si="4"/>
        <v>3</v>
      </c>
      <c r="I34" s="53">
        <f>AVERAGE(E34:H34)/3*100</f>
        <v>100</v>
      </c>
      <c r="J34" s="54"/>
      <c r="K34" s="55"/>
      <c r="L34" s="55"/>
      <c r="M34" s="55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8.25" customHeight="1" x14ac:dyDescent="0.25"/>
    <row r="36" spans="1:24" x14ac:dyDescent="0.25">
      <c r="E36" s="56" t="s">
        <v>49</v>
      </c>
      <c r="F36" s="56"/>
      <c r="G36" s="56"/>
      <c r="H36" s="56" t="s">
        <v>50</v>
      </c>
      <c r="I36" s="56"/>
      <c r="J36" s="56"/>
      <c r="K36" s="56"/>
      <c r="L36" s="57" t="s">
        <v>51</v>
      </c>
      <c r="M36" s="57"/>
    </row>
    <row r="37" spans="1:24" x14ac:dyDescent="0.25">
      <c r="B37" s="58"/>
      <c r="E37" s="56" t="s">
        <v>52</v>
      </c>
      <c r="F37" s="56"/>
      <c r="G37" s="56"/>
      <c r="H37" s="56" t="s">
        <v>53</v>
      </c>
      <c r="I37" s="56"/>
      <c r="J37" s="56"/>
      <c r="K37" s="56"/>
      <c r="L37" s="57" t="s">
        <v>54</v>
      </c>
      <c r="M37" s="57"/>
    </row>
    <row r="38" spans="1:24" x14ac:dyDescent="0.25">
      <c r="B38" s="59"/>
      <c r="E38" s="56"/>
      <c r="F38" s="56"/>
      <c r="G38" s="56"/>
      <c r="H38" s="56"/>
      <c r="I38" s="56"/>
      <c r="J38" s="56"/>
      <c r="K38" s="56"/>
      <c r="L38" s="57"/>
      <c r="M38" s="57"/>
    </row>
    <row r="39" spans="1:24" x14ac:dyDescent="0.25">
      <c r="B39" s="60"/>
      <c r="E39" s="56"/>
      <c r="F39" s="56"/>
      <c r="G39" s="56"/>
      <c r="H39" s="56"/>
      <c r="I39" s="56"/>
      <c r="J39" s="56"/>
      <c r="K39" s="56"/>
      <c r="L39" s="57"/>
      <c r="M39" s="57"/>
    </row>
    <row r="40" spans="1:24" ht="29.25" customHeight="1" x14ac:dyDescent="0.25">
      <c r="B40" s="60"/>
      <c r="E40" s="56"/>
      <c r="F40" s="56"/>
      <c r="G40" s="56"/>
      <c r="H40" s="56"/>
      <c r="I40" s="56"/>
      <c r="J40" s="56"/>
      <c r="K40" s="56"/>
      <c r="L40" s="57"/>
      <c r="M40" s="57"/>
    </row>
    <row r="41" spans="1:24" x14ac:dyDescent="0.25">
      <c r="E41" s="56"/>
      <c r="F41" s="56"/>
      <c r="G41" s="56"/>
      <c r="H41" s="56"/>
      <c r="I41" s="56"/>
      <c r="J41" s="56"/>
      <c r="K41" s="56"/>
      <c r="L41" s="57"/>
      <c r="M41" s="57"/>
    </row>
    <row r="42" spans="1:24" x14ac:dyDescent="0.25">
      <c r="E42" s="56" t="s">
        <v>55</v>
      </c>
      <c r="F42" s="56"/>
      <c r="G42" s="56"/>
      <c r="H42" s="56" t="s">
        <v>56</v>
      </c>
      <c r="I42" s="56"/>
      <c r="J42" s="56"/>
      <c r="K42" s="56"/>
      <c r="L42" s="57" t="s">
        <v>57</v>
      </c>
      <c r="M42" s="57"/>
    </row>
  </sheetData>
  <mergeCells count="16">
    <mergeCell ref="B39:B40"/>
    <mergeCell ref="E42:G42"/>
    <mergeCell ref="H42:K42"/>
    <mergeCell ref="L42:M42"/>
    <mergeCell ref="E37:G37"/>
    <mergeCell ref="H37:K37"/>
    <mergeCell ref="L37:M37"/>
    <mergeCell ref="E38:G41"/>
    <mergeCell ref="H38:K41"/>
    <mergeCell ref="L38:M41"/>
    <mergeCell ref="B2:M2"/>
    <mergeCell ref="B4:M4"/>
    <mergeCell ref="O16:S18"/>
    <mergeCell ref="E36:G36"/>
    <mergeCell ref="H36:K36"/>
    <mergeCell ref="L36:M36"/>
  </mergeCells>
  <printOptions horizontalCentered="1"/>
  <pageMargins left="0.2" right="0.2" top="0.25" bottom="0" header="0.3" footer="0.3"/>
  <pageSetup paperSize="9" scale="72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B119-0DCE-41EC-AE94-252352CD0D90}">
  <dimension ref="A1:X46"/>
  <sheetViews>
    <sheetView workbookViewId="0">
      <selection activeCell="F20" sqref="F20"/>
    </sheetView>
  </sheetViews>
  <sheetFormatPr defaultColWidth="14.42578125" defaultRowHeight="15" x14ac:dyDescent="0.25"/>
  <cols>
    <col min="1" max="1" width="2.42578125" style="109" customWidth="1"/>
    <col min="2" max="2" width="65.5703125" style="109" customWidth="1"/>
    <col min="3" max="3" width="6.42578125" style="109" customWidth="1"/>
    <col min="4" max="4" width="12.28515625" style="109" customWidth="1"/>
    <col min="5" max="8" width="8.7109375" style="109" customWidth="1"/>
    <col min="9" max="9" width="8.5703125" style="109" customWidth="1"/>
    <col min="10" max="10" width="2.42578125" style="109" customWidth="1"/>
    <col min="11" max="13" width="14.85546875" style="109" customWidth="1"/>
    <col min="14" max="15" width="2.42578125" style="109" customWidth="1"/>
    <col min="16" max="18" width="9" style="109" customWidth="1"/>
    <col min="19" max="19" width="5.28515625" style="109" customWidth="1"/>
    <col min="20" max="16384" width="14.42578125" style="109"/>
  </cols>
  <sheetData>
    <row r="1" spans="1:24" ht="26.25" x14ac:dyDescent="0.25">
      <c r="A1" s="104"/>
      <c r="B1" s="105" t="s">
        <v>82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  <c r="N1" s="108"/>
      <c r="O1" s="108"/>
      <c r="P1" s="108"/>
      <c r="Q1" s="108"/>
      <c r="R1" s="108"/>
      <c r="S1" s="108"/>
    </row>
    <row r="2" spans="1:24" ht="26.25" x14ac:dyDescent="0.25">
      <c r="A2" s="104"/>
      <c r="B2" s="110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08"/>
      <c r="O2" s="108"/>
      <c r="P2" s="108"/>
      <c r="Q2" s="108"/>
      <c r="R2" s="108"/>
      <c r="S2" s="108"/>
    </row>
    <row r="3" spans="1:24" ht="15.75" x14ac:dyDescent="0.25">
      <c r="A3" s="104"/>
      <c r="B3" s="113" t="s">
        <v>83</v>
      </c>
      <c r="C3" s="114"/>
      <c r="D3" s="115"/>
      <c r="E3" s="116"/>
      <c r="F3" s="117"/>
      <c r="G3" s="117"/>
      <c r="H3" s="117"/>
      <c r="I3" s="118"/>
      <c r="J3" s="116"/>
      <c r="K3" s="119"/>
      <c r="L3" s="119"/>
      <c r="M3" s="120" t="s">
        <v>84</v>
      </c>
      <c r="N3" s="108"/>
      <c r="O3" s="108"/>
      <c r="P3" s="108"/>
      <c r="Q3" s="108"/>
      <c r="R3" s="108"/>
      <c r="S3" s="108"/>
    </row>
    <row r="4" spans="1:24" x14ac:dyDescent="0.25">
      <c r="A4" s="104"/>
      <c r="B4" s="121" t="s">
        <v>0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3"/>
      <c r="N4" s="108"/>
      <c r="O4" s="108"/>
      <c r="P4" s="108"/>
      <c r="Q4" s="108"/>
      <c r="R4" s="108"/>
      <c r="S4" s="108"/>
    </row>
    <row r="5" spans="1:24" ht="44.25" customHeight="1" x14ac:dyDescent="0.25">
      <c r="A5" s="104"/>
      <c r="B5" s="124" t="s">
        <v>1</v>
      </c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6"/>
      <c r="N5" s="108"/>
      <c r="O5" s="108"/>
      <c r="P5" s="108"/>
      <c r="Q5" s="108"/>
      <c r="R5" s="108"/>
      <c r="S5" s="108"/>
    </row>
    <row r="6" spans="1:24" x14ac:dyDescent="0.25">
      <c r="A6" s="104"/>
      <c r="B6" s="127"/>
      <c r="C6" s="108"/>
      <c r="D6" s="108"/>
      <c r="E6" s="128"/>
      <c r="F6" s="128"/>
      <c r="G6" s="128"/>
      <c r="H6" s="128"/>
      <c r="I6" s="128"/>
      <c r="J6" s="108"/>
      <c r="K6" s="104"/>
      <c r="L6" s="104"/>
      <c r="M6" s="129"/>
      <c r="N6" s="108"/>
      <c r="O6" s="108"/>
      <c r="P6" s="108"/>
      <c r="Q6" s="108"/>
      <c r="R6" s="108"/>
      <c r="S6" s="108"/>
    </row>
    <row r="7" spans="1:24" x14ac:dyDescent="0.25">
      <c r="A7" s="104"/>
      <c r="B7" s="130" t="s">
        <v>2</v>
      </c>
      <c r="C7" s="131" t="s">
        <v>3</v>
      </c>
      <c r="D7" s="132" t="s">
        <v>4</v>
      </c>
      <c r="E7" s="133" t="s">
        <v>5</v>
      </c>
      <c r="F7" s="133" t="s">
        <v>6</v>
      </c>
      <c r="G7" s="133" t="s">
        <v>7</v>
      </c>
      <c r="H7" s="133" t="s">
        <v>8</v>
      </c>
      <c r="I7" s="133"/>
      <c r="J7" s="133"/>
      <c r="K7" s="133" t="s">
        <v>9</v>
      </c>
      <c r="L7" s="133" t="s">
        <v>10</v>
      </c>
      <c r="M7" s="134" t="s">
        <v>11</v>
      </c>
      <c r="N7" s="108"/>
      <c r="O7" s="108"/>
      <c r="P7" s="135"/>
      <c r="Q7" s="108"/>
      <c r="R7" s="108"/>
      <c r="S7" s="108"/>
      <c r="T7" s="108"/>
      <c r="U7" s="108"/>
      <c r="V7" s="108"/>
      <c r="W7" s="108"/>
      <c r="X7" s="108"/>
    </row>
    <row r="8" spans="1:24" ht="25.5" x14ac:dyDescent="0.25">
      <c r="A8" s="104"/>
      <c r="B8" s="136" t="s">
        <v>12</v>
      </c>
      <c r="C8" s="137">
        <v>0.3</v>
      </c>
      <c r="D8" s="138"/>
      <c r="E8" s="139">
        <f>IF(ISERROR(AVERAGE(E10:E13))," ",AVERAGE(E10:E13))</f>
        <v>3</v>
      </c>
      <c r="F8" s="139">
        <f t="shared" ref="F8:H8" si="0">IF(ISERROR(AVERAGE(F10:F13))," ",AVERAGE(F10:F13))</f>
        <v>3</v>
      </c>
      <c r="G8" s="139">
        <f t="shared" si="0"/>
        <v>3</v>
      </c>
      <c r="H8" s="139">
        <f t="shared" si="0"/>
        <v>3</v>
      </c>
      <c r="I8" s="133"/>
      <c r="J8" s="139"/>
      <c r="K8" s="140">
        <v>1</v>
      </c>
      <c r="L8" s="140">
        <v>2</v>
      </c>
      <c r="M8" s="141">
        <v>3</v>
      </c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</row>
    <row r="9" spans="1:24" x14ac:dyDescent="0.25">
      <c r="A9" s="104"/>
      <c r="B9" s="142" t="s">
        <v>13</v>
      </c>
      <c r="C9" s="143"/>
      <c r="D9" s="144"/>
      <c r="E9" s="145"/>
      <c r="F9" s="145"/>
      <c r="G9" s="145"/>
      <c r="H9" s="145"/>
      <c r="I9" s="133"/>
      <c r="J9" s="145"/>
      <c r="K9" s="145"/>
      <c r="L9" s="145"/>
      <c r="M9" s="146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</row>
    <row r="10" spans="1:24" ht="38.25" x14ac:dyDescent="0.25">
      <c r="A10" s="104"/>
      <c r="B10" s="147" t="s">
        <v>14</v>
      </c>
      <c r="C10" s="148"/>
      <c r="D10" s="149" t="s">
        <v>15</v>
      </c>
      <c r="E10" s="150">
        <v>3</v>
      </c>
      <c r="F10" s="150">
        <v>3</v>
      </c>
      <c r="G10" s="150">
        <v>3</v>
      </c>
      <c r="H10" s="150">
        <v>3</v>
      </c>
      <c r="I10" s="133"/>
      <c r="J10" s="151"/>
      <c r="K10" s="152" t="s">
        <v>16</v>
      </c>
      <c r="L10" s="152" t="s">
        <v>17</v>
      </c>
      <c r="M10" s="153" t="s">
        <v>18</v>
      </c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</row>
    <row r="11" spans="1:24" ht="38.25" x14ac:dyDescent="0.25">
      <c r="A11" s="104"/>
      <c r="B11" s="136" t="s">
        <v>19</v>
      </c>
      <c r="C11" s="148"/>
      <c r="D11" s="149" t="s">
        <v>15</v>
      </c>
      <c r="E11" s="150">
        <v>3</v>
      </c>
      <c r="F11" s="150">
        <v>3</v>
      </c>
      <c r="G11" s="150">
        <v>3</v>
      </c>
      <c r="H11" s="150">
        <v>3</v>
      </c>
      <c r="I11" s="133"/>
      <c r="J11" s="151"/>
      <c r="K11" s="152" t="s">
        <v>16</v>
      </c>
      <c r="L11" s="152" t="s">
        <v>17</v>
      </c>
      <c r="M11" s="153" t="s">
        <v>18</v>
      </c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</row>
    <row r="12" spans="1:24" x14ac:dyDescent="0.25">
      <c r="A12" s="104"/>
      <c r="B12" s="136" t="s">
        <v>20</v>
      </c>
      <c r="C12" s="148"/>
      <c r="D12" s="149" t="s">
        <v>15</v>
      </c>
      <c r="E12" s="150">
        <v>3</v>
      </c>
      <c r="F12" s="150">
        <v>3</v>
      </c>
      <c r="G12" s="150">
        <v>3</v>
      </c>
      <c r="H12" s="150">
        <v>3</v>
      </c>
      <c r="I12" s="133"/>
      <c r="J12" s="151"/>
      <c r="K12" s="152" t="s">
        <v>16</v>
      </c>
      <c r="L12" s="152" t="s">
        <v>17</v>
      </c>
      <c r="M12" s="153" t="s">
        <v>18</v>
      </c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</row>
    <row r="13" spans="1:24" x14ac:dyDescent="0.25">
      <c r="A13" s="104"/>
      <c r="B13" s="147" t="s">
        <v>21</v>
      </c>
      <c r="C13" s="148"/>
      <c r="D13" s="149" t="s">
        <v>15</v>
      </c>
      <c r="E13" s="150">
        <v>3</v>
      </c>
      <c r="F13" s="150">
        <v>3</v>
      </c>
      <c r="G13" s="150">
        <v>3</v>
      </c>
      <c r="H13" s="150">
        <v>3</v>
      </c>
      <c r="I13" s="133"/>
      <c r="J13" s="151"/>
      <c r="K13" s="152" t="s">
        <v>16</v>
      </c>
      <c r="L13" s="152" t="s">
        <v>17</v>
      </c>
      <c r="M13" s="153" t="s">
        <v>18</v>
      </c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</row>
    <row r="14" spans="1:24" x14ac:dyDescent="0.25">
      <c r="A14" s="108"/>
      <c r="B14" s="154" t="s">
        <v>22</v>
      </c>
      <c r="C14" s="155" t="s">
        <v>3</v>
      </c>
      <c r="D14" s="156" t="s">
        <v>4</v>
      </c>
      <c r="E14" s="133" t="s">
        <v>5</v>
      </c>
      <c r="F14" s="133" t="s">
        <v>6</v>
      </c>
      <c r="G14" s="133" t="s">
        <v>7</v>
      </c>
      <c r="H14" s="133" t="s">
        <v>8</v>
      </c>
      <c r="I14" s="133"/>
      <c r="J14" s="133"/>
      <c r="K14" s="133" t="s">
        <v>9</v>
      </c>
      <c r="L14" s="133" t="s">
        <v>10</v>
      </c>
      <c r="M14" s="134" t="s">
        <v>11</v>
      </c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</row>
    <row r="15" spans="1:24" x14ac:dyDescent="0.25">
      <c r="A15" s="108"/>
      <c r="B15" s="157" t="s">
        <v>23</v>
      </c>
      <c r="C15" s="137">
        <v>0.3</v>
      </c>
      <c r="D15" s="138"/>
      <c r="E15" s="139">
        <f>IF(ISERROR(AVERAGE(E17:E22))," ",AVERAGE(E17:E22))</f>
        <v>3</v>
      </c>
      <c r="F15" s="139">
        <f t="shared" ref="F15:H15" si="1">IF(ISERROR(AVERAGE(F17:F22))," ",AVERAGE(F17:F22))</f>
        <v>3</v>
      </c>
      <c r="G15" s="139">
        <f t="shared" si="1"/>
        <v>3</v>
      </c>
      <c r="H15" s="139">
        <f t="shared" si="1"/>
        <v>3</v>
      </c>
      <c r="I15" s="133"/>
      <c r="J15" s="139"/>
      <c r="K15" s="140">
        <v>1</v>
      </c>
      <c r="L15" s="140">
        <v>2</v>
      </c>
      <c r="M15" s="141">
        <v>3</v>
      </c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</row>
    <row r="16" spans="1:24" x14ac:dyDescent="0.25">
      <c r="A16" s="108"/>
      <c r="B16" s="142" t="s">
        <v>13</v>
      </c>
      <c r="C16" s="143"/>
      <c r="D16" s="144"/>
      <c r="E16" s="145"/>
      <c r="F16" s="145"/>
      <c r="G16" s="145"/>
      <c r="H16" s="145"/>
      <c r="I16" s="133"/>
      <c r="J16" s="145"/>
      <c r="K16" s="145"/>
      <c r="L16" s="145"/>
      <c r="M16" s="146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</row>
    <row r="17" spans="1:24" s="162" customFormat="1" ht="25.5" x14ac:dyDescent="0.25">
      <c r="A17" s="108"/>
      <c r="B17" s="158" t="s">
        <v>24</v>
      </c>
      <c r="C17" s="159"/>
      <c r="D17" s="149" t="s">
        <v>15</v>
      </c>
      <c r="E17" s="150">
        <v>3</v>
      </c>
      <c r="F17" s="150">
        <v>3</v>
      </c>
      <c r="G17" s="150">
        <v>3</v>
      </c>
      <c r="H17" s="150">
        <v>3</v>
      </c>
      <c r="I17" s="133"/>
      <c r="J17" s="160"/>
      <c r="K17" s="152" t="s">
        <v>16</v>
      </c>
      <c r="L17" s="152" t="s">
        <v>17</v>
      </c>
      <c r="M17" s="153" t="s">
        <v>18</v>
      </c>
      <c r="N17" s="108"/>
      <c r="O17" s="161"/>
      <c r="P17" s="161"/>
      <c r="Q17" s="161"/>
      <c r="R17" s="161"/>
      <c r="S17" s="161"/>
      <c r="T17" s="108"/>
      <c r="U17" s="108"/>
      <c r="V17" s="108"/>
      <c r="W17" s="108"/>
      <c r="X17" s="108"/>
    </row>
    <row r="18" spans="1:24" s="162" customFormat="1" x14ac:dyDescent="0.25">
      <c r="A18" s="108"/>
      <c r="B18" s="158" t="s">
        <v>25</v>
      </c>
      <c r="C18" s="159"/>
      <c r="D18" s="149" t="s">
        <v>15</v>
      </c>
      <c r="E18" s="150">
        <v>3</v>
      </c>
      <c r="F18" s="150">
        <v>3</v>
      </c>
      <c r="G18" s="150">
        <v>3</v>
      </c>
      <c r="H18" s="150">
        <v>3</v>
      </c>
      <c r="I18" s="133"/>
      <c r="J18" s="160"/>
      <c r="K18" s="152" t="s">
        <v>16</v>
      </c>
      <c r="L18" s="152" t="s">
        <v>17</v>
      </c>
      <c r="M18" s="153" t="s">
        <v>18</v>
      </c>
      <c r="N18" s="108"/>
      <c r="O18" s="161"/>
      <c r="P18" s="161"/>
      <c r="Q18" s="161"/>
      <c r="R18" s="161"/>
      <c r="S18" s="161"/>
      <c r="T18" s="108"/>
      <c r="U18" s="108"/>
      <c r="V18" s="108"/>
      <c r="W18" s="108"/>
      <c r="X18" s="108"/>
    </row>
    <row r="19" spans="1:24" s="162" customFormat="1" ht="25.5" x14ac:dyDescent="0.25">
      <c r="A19" s="108"/>
      <c r="B19" s="158" t="s">
        <v>26</v>
      </c>
      <c r="C19" s="159"/>
      <c r="D19" s="149" t="s">
        <v>15</v>
      </c>
      <c r="E19" s="150">
        <v>3</v>
      </c>
      <c r="F19" s="150">
        <v>3</v>
      </c>
      <c r="G19" s="150">
        <v>3</v>
      </c>
      <c r="H19" s="150">
        <v>3</v>
      </c>
      <c r="I19" s="133"/>
      <c r="J19" s="160"/>
      <c r="K19" s="152" t="s">
        <v>16</v>
      </c>
      <c r="L19" s="152" t="s">
        <v>17</v>
      </c>
      <c r="M19" s="153" t="s">
        <v>18</v>
      </c>
      <c r="N19" s="108"/>
      <c r="O19" s="161"/>
      <c r="P19" s="161"/>
      <c r="Q19" s="161"/>
      <c r="R19" s="161"/>
      <c r="S19" s="161"/>
      <c r="T19" s="108"/>
      <c r="U19" s="108"/>
      <c r="V19" s="108"/>
      <c r="W19" s="108"/>
      <c r="X19" s="108"/>
    </row>
    <row r="20" spans="1:24" ht="25.5" x14ac:dyDescent="0.25">
      <c r="A20" s="108"/>
      <c r="B20" s="147" t="s">
        <v>27</v>
      </c>
      <c r="C20" s="148"/>
      <c r="D20" s="149" t="s">
        <v>15</v>
      </c>
      <c r="E20" s="150">
        <v>3</v>
      </c>
      <c r="F20" s="150">
        <v>3</v>
      </c>
      <c r="G20" s="150">
        <v>3</v>
      </c>
      <c r="H20" s="150">
        <v>3</v>
      </c>
      <c r="I20" s="133"/>
      <c r="J20" s="151"/>
      <c r="K20" s="152" t="s">
        <v>16</v>
      </c>
      <c r="L20" s="152" t="s">
        <v>17</v>
      </c>
      <c r="M20" s="153" t="s">
        <v>18</v>
      </c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</row>
    <row r="21" spans="1:24" ht="25.5" x14ac:dyDescent="0.25">
      <c r="A21" s="108"/>
      <c r="B21" s="147" t="s">
        <v>85</v>
      </c>
      <c r="C21" s="148"/>
      <c r="D21" s="149" t="s">
        <v>15</v>
      </c>
      <c r="E21" s="150">
        <v>3</v>
      </c>
      <c r="F21" s="150">
        <v>3</v>
      </c>
      <c r="G21" s="150">
        <v>3</v>
      </c>
      <c r="H21" s="150">
        <v>3</v>
      </c>
      <c r="I21" s="133"/>
      <c r="J21" s="151"/>
      <c r="K21" s="152" t="s">
        <v>16</v>
      </c>
      <c r="L21" s="152" t="s">
        <v>17</v>
      </c>
      <c r="M21" s="153" t="s">
        <v>18</v>
      </c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</row>
    <row r="22" spans="1:24" x14ac:dyDescent="0.25">
      <c r="A22" s="108"/>
      <c r="B22" s="147" t="s">
        <v>29</v>
      </c>
      <c r="C22" s="148"/>
      <c r="D22" s="149" t="s">
        <v>15</v>
      </c>
      <c r="E22" s="150">
        <v>3</v>
      </c>
      <c r="F22" s="150">
        <v>3</v>
      </c>
      <c r="G22" s="150">
        <v>3</v>
      </c>
      <c r="H22" s="150">
        <v>3</v>
      </c>
      <c r="I22" s="133"/>
      <c r="J22" s="151"/>
      <c r="K22" s="152" t="s">
        <v>16</v>
      </c>
      <c r="L22" s="152" t="s">
        <v>17</v>
      </c>
      <c r="M22" s="153" t="s">
        <v>18</v>
      </c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</row>
    <row r="23" spans="1:24" x14ac:dyDescent="0.25">
      <c r="A23" s="108"/>
      <c r="B23" s="154" t="s">
        <v>30</v>
      </c>
      <c r="C23" s="155" t="s">
        <v>3</v>
      </c>
      <c r="D23" s="156" t="s">
        <v>4</v>
      </c>
      <c r="E23" s="133" t="s">
        <v>5</v>
      </c>
      <c r="F23" s="133" t="s">
        <v>6</v>
      </c>
      <c r="G23" s="133" t="s">
        <v>7</v>
      </c>
      <c r="H23" s="133" t="s">
        <v>8</v>
      </c>
      <c r="I23" s="133"/>
      <c r="J23" s="133"/>
      <c r="K23" s="133" t="s">
        <v>9</v>
      </c>
      <c r="L23" s="133" t="s">
        <v>10</v>
      </c>
      <c r="M23" s="134" t="s">
        <v>11</v>
      </c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</row>
    <row r="24" spans="1:24" x14ac:dyDescent="0.25">
      <c r="A24" s="108"/>
      <c r="B24" s="163" t="s">
        <v>31</v>
      </c>
      <c r="C24" s="137">
        <v>0.3</v>
      </c>
      <c r="D24" s="138"/>
      <c r="E24" s="139">
        <f>IF(ISERROR(AVERAGE(E26:E29))," ",AVERAGE(E26:E29))</f>
        <v>3</v>
      </c>
      <c r="F24" s="139">
        <f t="shared" ref="F24:H24" si="2">IF(ISERROR(AVERAGE(F26:F29))," ",AVERAGE(F26:F29))</f>
        <v>3</v>
      </c>
      <c r="G24" s="139">
        <f t="shared" si="2"/>
        <v>3</v>
      </c>
      <c r="H24" s="139">
        <f t="shared" si="2"/>
        <v>3</v>
      </c>
      <c r="I24" s="133"/>
      <c r="J24" s="139"/>
      <c r="K24" s="140">
        <v>1</v>
      </c>
      <c r="L24" s="140">
        <v>2</v>
      </c>
      <c r="M24" s="141">
        <v>3</v>
      </c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</row>
    <row r="25" spans="1:24" x14ac:dyDescent="0.25">
      <c r="A25" s="108"/>
      <c r="B25" s="142" t="s">
        <v>13</v>
      </c>
      <c r="C25" s="143"/>
      <c r="D25" s="144"/>
      <c r="E25" s="145"/>
      <c r="F25" s="145"/>
      <c r="G25" s="145"/>
      <c r="H25" s="145"/>
      <c r="I25" s="133"/>
      <c r="J25" s="145"/>
      <c r="K25" s="145"/>
      <c r="L25" s="145"/>
      <c r="M25" s="146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</row>
    <row r="26" spans="1:24" x14ac:dyDescent="0.25">
      <c r="A26" s="108"/>
      <c r="B26" s="164" t="s">
        <v>32</v>
      </c>
      <c r="C26" s="148"/>
      <c r="D26" s="149" t="s">
        <v>15</v>
      </c>
      <c r="E26" s="150">
        <v>3</v>
      </c>
      <c r="F26" s="150">
        <v>3</v>
      </c>
      <c r="G26" s="150">
        <v>3</v>
      </c>
      <c r="H26" s="150">
        <v>3</v>
      </c>
      <c r="I26" s="133"/>
      <c r="J26" s="151"/>
      <c r="K26" s="152" t="s">
        <v>16</v>
      </c>
      <c r="L26" s="152" t="s">
        <v>17</v>
      </c>
      <c r="M26" s="153" t="s">
        <v>18</v>
      </c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</row>
    <row r="27" spans="1:24" ht="25.5" x14ac:dyDescent="0.25">
      <c r="A27" s="108"/>
      <c r="B27" s="147" t="s">
        <v>33</v>
      </c>
      <c r="C27" s="148"/>
      <c r="D27" s="149" t="s">
        <v>15</v>
      </c>
      <c r="E27" s="150">
        <v>3</v>
      </c>
      <c r="F27" s="150">
        <v>3</v>
      </c>
      <c r="G27" s="150">
        <v>3</v>
      </c>
      <c r="H27" s="150">
        <v>3</v>
      </c>
      <c r="I27" s="133"/>
      <c r="J27" s="151"/>
      <c r="K27" s="152" t="s">
        <v>16</v>
      </c>
      <c r="L27" s="152" t="s">
        <v>17</v>
      </c>
      <c r="M27" s="153" t="s">
        <v>18</v>
      </c>
      <c r="N27" s="108"/>
      <c r="O27" s="165"/>
      <c r="P27" s="108"/>
      <c r="Q27" s="108"/>
      <c r="R27" s="108"/>
      <c r="S27" s="108"/>
      <c r="T27" s="108"/>
      <c r="U27" s="108"/>
      <c r="V27" s="108"/>
      <c r="W27" s="108"/>
      <c r="X27" s="108"/>
    </row>
    <row r="28" spans="1:24" ht="25.5" x14ac:dyDescent="0.25">
      <c r="A28" s="108"/>
      <c r="B28" s="166" t="s">
        <v>34</v>
      </c>
      <c r="C28" s="148"/>
      <c r="D28" s="149" t="s">
        <v>15</v>
      </c>
      <c r="E28" s="150">
        <v>3</v>
      </c>
      <c r="F28" s="150">
        <v>3</v>
      </c>
      <c r="G28" s="150">
        <v>3</v>
      </c>
      <c r="H28" s="150">
        <v>3</v>
      </c>
      <c r="I28" s="133"/>
      <c r="J28" s="151"/>
      <c r="K28" s="152" t="s">
        <v>35</v>
      </c>
      <c r="L28" s="152" t="s">
        <v>36</v>
      </c>
      <c r="M28" s="153" t="s">
        <v>37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</row>
    <row r="29" spans="1:24" ht="51" x14ac:dyDescent="0.25">
      <c r="A29" s="108"/>
      <c r="B29" s="166" t="s">
        <v>38</v>
      </c>
      <c r="C29" s="148"/>
      <c r="D29" s="149" t="s">
        <v>15</v>
      </c>
      <c r="E29" s="150">
        <v>3</v>
      </c>
      <c r="F29" s="150">
        <v>3</v>
      </c>
      <c r="G29" s="150">
        <v>3</v>
      </c>
      <c r="H29" s="150">
        <v>3</v>
      </c>
      <c r="I29" s="133"/>
      <c r="J29" s="151"/>
      <c r="K29" s="152" t="s">
        <v>35</v>
      </c>
      <c r="L29" s="152" t="s">
        <v>36</v>
      </c>
      <c r="M29" s="153" t="s">
        <v>37</v>
      </c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</row>
    <row r="30" spans="1:24" x14ac:dyDescent="0.25">
      <c r="A30" s="104"/>
      <c r="B30" s="130" t="s">
        <v>39</v>
      </c>
      <c r="C30" s="131" t="s">
        <v>3</v>
      </c>
      <c r="D30" s="132" t="s">
        <v>4</v>
      </c>
      <c r="E30" s="133" t="s">
        <v>5</v>
      </c>
      <c r="F30" s="133" t="s">
        <v>6</v>
      </c>
      <c r="G30" s="133" t="s">
        <v>7</v>
      </c>
      <c r="H30" s="133" t="s">
        <v>8</v>
      </c>
      <c r="I30" s="133"/>
      <c r="J30" s="133"/>
      <c r="K30" s="133" t="s">
        <v>9</v>
      </c>
      <c r="L30" s="133" t="s">
        <v>10</v>
      </c>
      <c r="M30" s="134" t="s">
        <v>11</v>
      </c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</row>
    <row r="31" spans="1:24" x14ac:dyDescent="0.25">
      <c r="A31" s="104"/>
      <c r="B31" s="167" t="s">
        <v>40</v>
      </c>
      <c r="C31" s="137">
        <v>0.1</v>
      </c>
      <c r="D31" s="138"/>
      <c r="E31" s="139">
        <f>IF(ISERROR(AVERAGE(E33:E34))," ",AVERAGE(E33:E34))</f>
        <v>3</v>
      </c>
      <c r="F31" s="139">
        <f t="shared" ref="F31:H31" si="3">IF(ISERROR(AVERAGE(F33:F34))," ",AVERAGE(F33:F34))</f>
        <v>3</v>
      </c>
      <c r="G31" s="139">
        <f t="shared" si="3"/>
        <v>3</v>
      </c>
      <c r="H31" s="139">
        <f t="shared" si="3"/>
        <v>3</v>
      </c>
      <c r="I31" s="133"/>
      <c r="J31" s="139"/>
      <c r="K31" s="140">
        <v>1</v>
      </c>
      <c r="L31" s="140">
        <v>2</v>
      </c>
      <c r="M31" s="141">
        <v>3</v>
      </c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</row>
    <row r="32" spans="1:24" x14ac:dyDescent="0.25">
      <c r="A32" s="104"/>
      <c r="B32" s="168" t="s">
        <v>13</v>
      </c>
      <c r="C32" s="143"/>
      <c r="D32" s="144"/>
      <c r="E32" s="145"/>
      <c r="F32" s="145"/>
      <c r="G32" s="145"/>
      <c r="H32" s="145"/>
      <c r="I32" s="133"/>
      <c r="J32" s="145"/>
      <c r="K32" s="145"/>
      <c r="L32" s="145"/>
      <c r="M32" s="146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</row>
    <row r="33" spans="1:24" x14ac:dyDescent="0.25">
      <c r="A33" s="104"/>
      <c r="B33" s="169" t="s">
        <v>40</v>
      </c>
      <c r="C33" s="148"/>
      <c r="D33" s="170" t="s">
        <v>41</v>
      </c>
      <c r="E33" s="150">
        <v>3</v>
      </c>
      <c r="F33" s="150">
        <v>3</v>
      </c>
      <c r="G33" s="150">
        <v>3</v>
      </c>
      <c r="H33" s="150">
        <v>3</v>
      </c>
      <c r="I33" s="133"/>
      <c r="J33" s="151"/>
      <c r="K33" s="171" t="s">
        <v>42</v>
      </c>
      <c r="L33" s="171" t="s">
        <v>43</v>
      </c>
      <c r="M33" s="172">
        <v>0</v>
      </c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</row>
    <row r="34" spans="1:24" ht="38.25" x14ac:dyDescent="0.25">
      <c r="A34" s="173"/>
      <c r="B34" s="174" t="s">
        <v>44</v>
      </c>
      <c r="C34" s="175"/>
      <c r="D34" s="176" t="s">
        <v>41</v>
      </c>
      <c r="E34" s="150">
        <v>3</v>
      </c>
      <c r="F34" s="150">
        <v>3</v>
      </c>
      <c r="G34" s="150">
        <v>3</v>
      </c>
      <c r="H34" s="150">
        <v>3</v>
      </c>
      <c r="I34" s="177"/>
      <c r="J34" s="178"/>
      <c r="K34" s="171" t="s">
        <v>45</v>
      </c>
      <c r="L34" s="171" t="s">
        <v>46</v>
      </c>
      <c r="M34" s="172" t="s">
        <v>47</v>
      </c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</row>
    <row r="35" spans="1:24" ht="16.5" thickBot="1" x14ac:dyDescent="0.3">
      <c r="A35" s="104"/>
      <c r="B35" s="180" t="s">
        <v>48</v>
      </c>
      <c r="C35" s="181">
        <f>SUM(C8:C33)</f>
        <v>0.99999999999999989</v>
      </c>
      <c r="D35" s="182"/>
      <c r="E35" s="183">
        <f>(E8*$C$8)+(E15*$C$15)+(E24*$C$24)+(E31*$C$31)</f>
        <v>3</v>
      </c>
      <c r="F35" s="183">
        <f t="shared" ref="F35:H35" si="4">(F8*$C$8)+(F15*$C$15)+(F24*$C$24)+(F31*$C$31)</f>
        <v>3</v>
      </c>
      <c r="G35" s="183">
        <f t="shared" si="4"/>
        <v>3</v>
      </c>
      <c r="H35" s="183">
        <f t="shared" si="4"/>
        <v>3</v>
      </c>
      <c r="I35" s="184">
        <f>AVERAGE(E35:H35)/3*100</f>
        <v>100</v>
      </c>
      <c r="J35" s="185"/>
      <c r="K35" s="186"/>
      <c r="L35" s="186"/>
      <c r="M35" s="187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</row>
    <row r="36" spans="1:24" x14ac:dyDescent="0.25">
      <c r="A36" s="104"/>
      <c r="B36" s="188"/>
      <c r="C36" s="108"/>
      <c r="D36" s="135"/>
      <c r="E36" s="128"/>
      <c r="F36" s="188"/>
      <c r="G36" s="188"/>
      <c r="H36" s="188"/>
      <c r="J36" s="128"/>
      <c r="K36" s="104"/>
      <c r="L36" s="104"/>
      <c r="M36" s="189"/>
      <c r="N36" s="108"/>
      <c r="O36" s="108"/>
      <c r="P36" s="108"/>
      <c r="Q36" s="108"/>
      <c r="R36" s="108"/>
      <c r="S36" s="108"/>
    </row>
    <row r="37" spans="1:24" x14ac:dyDescent="0.25">
      <c r="B37" s="109" t="s">
        <v>86</v>
      </c>
    </row>
    <row r="40" spans="1:24" x14ac:dyDescent="0.25">
      <c r="D40" s="190" t="s">
        <v>49</v>
      </c>
      <c r="E40" s="191"/>
      <c r="F40" s="192"/>
      <c r="G40" s="190" t="s">
        <v>50</v>
      </c>
      <c r="H40" s="191"/>
      <c r="I40" s="191"/>
      <c r="J40" s="192"/>
      <c r="K40" s="193" t="s">
        <v>51</v>
      </c>
      <c r="L40" s="194"/>
    </row>
    <row r="41" spans="1:24" x14ac:dyDescent="0.25">
      <c r="D41" s="195" t="s">
        <v>52</v>
      </c>
      <c r="E41" s="195"/>
      <c r="F41" s="195"/>
      <c r="G41" s="195" t="s">
        <v>53</v>
      </c>
      <c r="H41" s="195"/>
      <c r="I41" s="195"/>
      <c r="J41" s="195"/>
      <c r="K41" s="196" t="s">
        <v>54</v>
      </c>
      <c r="L41" s="196"/>
    </row>
    <row r="42" spans="1:24" x14ac:dyDescent="0.25">
      <c r="D42" s="197"/>
      <c r="E42" s="198"/>
      <c r="F42" s="199"/>
      <c r="G42" s="197"/>
      <c r="H42" s="198"/>
      <c r="I42" s="198"/>
      <c r="J42" s="199"/>
      <c r="K42" s="200"/>
      <c r="L42" s="201"/>
    </row>
    <row r="43" spans="1:24" x14ac:dyDescent="0.25">
      <c r="D43" s="202"/>
      <c r="E43" s="203"/>
      <c r="F43" s="204"/>
      <c r="G43" s="202"/>
      <c r="H43" s="203"/>
      <c r="I43" s="203"/>
      <c r="J43" s="204"/>
      <c r="K43" s="205"/>
      <c r="L43" s="206"/>
    </row>
    <row r="44" spans="1:24" x14ac:dyDescent="0.25">
      <c r="D44" s="202"/>
      <c r="E44" s="203"/>
      <c r="F44" s="204"/>
      <c r="G44" s="202"/>
      <c r="H44" s="203"/>
      <c r="I44" s="203"/>
      <c r="J44" s="204"/>
      <c r="K44" s="205"/>
      <c r="L44" s="206"/>
    </row>
    <row r="45" spans="1:24" x14ac:dyDescent="0.25">
      <c r="D45" s="207"/>
      <c r="E45" s="208"/>
      <c r="F45" s="209"/>
      <c r="G45" s="207"/>
      <c r="H45" s="208"/>
      <c r="I45" s="208"/>
      <c r="J45" s="209"/>
      <c r="K45" s="210"/>
      <c r="L45" s="211"/>
    </row>
    <row r="46" spans="1:24" x14ac:dyDescent="0.25">
      <c r="D46" s="190" t="s">
        <v>55</v>
      </c>
      <c r="E46" s="191"/>
      <c r="F46" s="192"/>
      <c r="G46" s="190" t="s">
        <v>56</v>
      </c>
      <c r="H46" s="191"/>
      <c r="I46" s="191"/>
      <c r="J46" s="192"/>
      <c r="K46" s="193" t="s">
        <v>57</v>
      </c>
      <c r="L46" s="194"/>
    </row>
  </sheetData>
  <mergeCells count="15">
    <mergeCell ref="D46:F46"/>
    <mergeCell ref="G46:J46"/>
    <mergeCell ref="K46:L46"/>
    <mergeCell ref="D41:F41"/>
    <mergeCell ref="G41:J41"/>
    <mergeCell ref="K41:L41"/>
    <mergeCell ref="D42:F45"/>
    <mergeCell ref="G42:J45"/>
    <mergeCell ref="K42:L45"/>
    <mergeCell ref="B1:M1"/>
    <mergeCell ref="B5:M5"/>
    <mergeCell ref="O17:S19"/>
    <mergeCell ref="D40:F40"/>
    <mergeCell ref="G40:J40"/>
    <mergeCell ref="K40:L4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7103-05A6-4325-8BCC-4ADEE7E4BF27}">
  <sheetPr>
    <pageSetUpPr fitToPage="1"/>
  </sheetPr>
  <dimension ref="A1:X36"/>
  <sheetViews>
    <sheetView zoomScale="85" zoomScaleNormal="85" workbookViewId="0">
      <selection activeCell="D30" sqref="D30"/>
    </sheetView>
  </sheetViews>
  <sheetFormatPr defaultColWidth="14.42578125" defaultRowHeight="15" x14ac:dyDescent="0.25"/>
  <cols>
    <col min="1" max="1" width="2.42578125" customWidth="1"/>
    <col min="2" max="2" width="77.5703125" bestFit="1" customWidth="1"/>
    <col min="3" max="3" width="6.42578125" customWidth="1"/>
    <col min="4" max="4" width="12.28515625" customWidth="1"/>
    <col min="5" max="8" width="8.7109375" customWidth="1"/>
    <col min="9" max="9" width="6" bestFit="1" customWidth="1"/>
    <col min="10" max="10" width="2.42578125" customWidth="1"/>
    <col min="11" max="11" width="18" customWidth="1"/>
    <col min="12" max="13" width="14.7109375" customWidth="1"/>
    <col min="14" max="14" width="4" customWidth="1"/>
    <col min="15" max="17" width="14.85546875" style="61" customWidth="1"/>
    <col min="18" max="18" width="9" style="61" customWidth="1"/>
    <col min="19" max="19" width="9" customWidth="1"/>
  </cols>
  <sheetData>
    <row r="1" spans="1:24" ht="19.5" customHeight="1" x14ac:dyDescent="0.25">
      <c r="A1" s="1"/>
      <c r="B1" s="1"/>
      <c r="C1" s="2"/>
      <c r="D1" s="6"/>
      <c r="E1" s="6"/>
      <c r="F1" s="6"/>
      <c r="G1" s="6"/>
      <c r="H1" s="6"/>
      <c r="I1" s="6"/>
      <c r="J1" s="6"/>
      <c r="K1" s="1"/>
      <c r="L1" s="1"/>
      <c r="M1" s="1"/>
      <c r="N1" s="2"/>
      <c r="O1" s="2"/>
      <c r="P1" s="2"/>
      <c r="Q1" s="2"/>
      <c r="R1" s="2"/>
      <c r="S1" s="2"/>
    </row>
    <row r="2" spans="1:24" ht="20.25" x14ac:dyDescent="0.25">
      <c r="A2" s="1"/>
      <c r="B2" s="3" t="s">
        <v>82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</row>
    <row r="3" spans="1:24" x14ac:dyDescent="0.25">
      <c r="A3" s="1"/>
      <c r="B3" s="100" t="s">
        <v>0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8"/>
      <c r="N3" s="2"/>
      <c r="O3" s="2"/>
      <c r="P3" s="2"/>
      <c r="Q3" s="2"/>
      <c r="R3" s="2"/>
      <c r="S3" s="2"/>
    </row>
    <row r="4" spans="1:24" ht="18" customHeight="1" x14ac:dyDescent="0.25">
      <c r="A4" s="1"/>
      <c r="B4" s="97" t="s">
        <v>1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5"/>
      <c r="N4" s="2"/>
      <c r="O4" s="2"/>
      <c r="P4" s="2"/>
      <c r="Q4" s="2"/>
      <c r="R4" s="2"/>
      <c r="S4" s="2"/>
    </row>
    <row r="5" spans="1:24" ht="19.5" customHeight="1" x14ac:dyDescent="0.25">
      <c r="A5" s="1"/>
      <c r="B5" s="1"/>
      <c r="C5" s="2"/>
      <c r="D5" s="2"/>
      <c r="E5" s="6"/>
      <c r="F5" s="6"/>
      <c r="G5" s="6"/>
      <c r="H5" s="6"/>
      <c r="I5" s="6"/>
      <c r="J5" s="2"/>
      <c r="K5" s="1"/>
      <c r="L5" s="1"/>
      <c r="M5" s="1"/>
      <c r="N5" s="2"/>
      <c r="O5" s="2"/>
      <c r="P5" s="2"/>
      <c r="Q5" s="2"/>
      <c r="R5" s="2"/>
      <c r="S5" s="2"/>
    </row>
    <row r="6" spans="1:24" ht="24.75" customHeight="1" x14ac:dyDescent="0.25">
      <c r="A6" s="1"/>
      <c r="B6" s="7" t="s">
        <v>2</v>
      </c>
      <c r="C6" s="8" t="s">
        <v>3</v>
      </c>
      <c r="D6" s="9" t="s">
        <v>4</v>
      </c>
      <c r="E6" s="10" t="s">
        <v>5</v>
      </c>
      <c r="F6" s="10" t="s">
        <v>6</v>
      </c>
      <c r="G6" s="10" t="s">
        <v>7</v>
      </c>
      <c r="H6" s="10" t="s">
        <v>8</v>
      </c>
      <c r="I6" s="10"/>
      <c r="J6" s="10"/>
      <c r="K6" s="10" t="s">
        <v>9</v>
      </c>
      <c r="L6" s="10" t="s">
        <v>10</v>
      </c>
      <c r="M6" s="10" t="s">
        <v>11</v>
      </c>
      <c r="N6" s="2"/>
      <c r="O6" s="2"/>
      <c r="P6" s="11"/>
      <c r="Q6" s="2"/>
      <c r="R6" s="2"/>
      <c r="S6" s="2"/>
      <c r="T6" s="2"/>
      <c r="U6" s="2"/>
      <c r="V6" s="2"/>
      <c r="W6" s="2"/>
      <c r="X6" s="2"/>
    </row>
    <row r="7" spans="1:24" ht="24.75" customHeight="1" x14ac:dyDescent="0.25">
      <c r="A7" s="1"/>
      <c r="B7" s="12" t="s">
        <v>12</v>
      </c>
      <c r="C7" s="13">
        <v>0.3</v>
      </c>
      <c r="D7" s="14"/>
      <c r="E7" s="15">
        <f>IF(ISERROR(AVERAGE(E9:E10))," ",AVERAGE(E9:E10))</f>
        <v>3</v>
      </c>
      <c r="F7" s="15">
        <f>IF(ISERROR(AVERAGE(F9:F10))," ",AVERAGE(F9:F10))</f>
        <v>3</v>
      </c>
      <c r="G7" s="15">
        <f>IF(ISERROR(AVERAGE(G9:G10))," ",AVERAGE(G9:G10))</f>
        <v>3</v>
      </c>
      <c r="H7" s="15">
        <f>IF(ISERROR(AVERAGE(H9:H10))," ",AVERAGE(H9:H10))</f>
        <v>3</v>
      </c>
      <c r="I7" s="10"/>
      <c r="J7" s="15"/>
      <c r="K7" s="16">
        <v>1</v>
      </c>
      <c r="L7" s="16">
        <v>2</v>
      </c>
      <c r="M7" s="16">
        <v>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1"/>
      <c r="B8" s="17" t="s">
        <v>13</v>
      </c>
      <c r="C8" s="18"/>
      <c r="D8" s="19"/>
      <c r="E8" s="20"/>
      <c r="F8" s="20"/>
      <c r="G8" s="20"/>
      <c r="H8" s="20"/>
      <c r="I8" s="10"/>
      <c r="J8" s="20"/>
      <c r="K8" s="20"/>
      <c r="L8" s="20"/>
      <c r="M8" s="20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5.5" x14ac:dyDescent="0.25">
      <c r="A9" s="1"/>
      <c r="B9" s="12" t="s">
        <v>19</v>
      </c>
      <c r="C9" s="22"/>
      <c r="D9" s="23" t="s">
        <v>15</v>
      </c>
      <c r="E9" s="24">
        <v>3</v>
      </c>
      <c r="F9" s="24">
        <v>3</v>
      </c>
      <c r="G9" s="24">
        <v>3</v>
      </c>
      <c r="H9" s="24">
        <v>3</v>
      </c>
      <c r="I9" s="10"/>
      <c r="J9" s="25"/>
      <c r="K9" s="94" t="s">
        <v>75</v>
      </c>
      <c r="L9" s="94" t="s">
        <v>74</v>
      </c>
      <c r="M9" s="94" t="s">
        <v>18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A10" s="1"/>
      <c r="B10" s="12" t="s">
        <v>20</v>
      </c>
      <c r="C10" s="22"/>
      <c r="D10" s="23" t="s">
        <v>15</v>
      </c>
      <c r="E10" s="24">
        <v>3</v>
      </c>
      <c r="F10" s="24">
        <v>3</v>
      </c>
      <c r="G10" s="24">
        <v>3</v>
      </c>
      <c r="H10" s="24">
        <v>3</v>
      </c>
      <c r="I10" s="10"/>
      <c r="J10" s="25"/>
      <c r="K10" s="94" t="s">
        <v>75</v>
      </c>
      <c r="L10" s="94" t="s">
        <v>74</v>
      </c>
      <c r="M10" s="94" t="s">
        <v>18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4.75" customHeight="1" x14ac:dyDescent="0.25">
      <c r="A11" s="1"/>
      <c r="B11" s="7" t="s">
        <v>73</v>
      </c>
      <c r="C11" s="8" t="s">
        <v>3</v>
      </c>
      <c r="D11" s="9" t="s">
        <v>4</v>
      </c>
      <c r="E11" s="10" t="s">
        <v>5</v>
      </c>
      <c r="F11" s="10" t="s">
        <v>6</v>
      </c>
      <c r="G11" s="10" t="s">
        <v>7</v>
      </c>
      <c r="H11" s="10" t="s">
        <v>8</v>
      </c>
      <c r="I11" s="10"/>
      <c r="J11" s="10"/>
      <c r="K11" s="10" t="s">
        <v>9</v>
      </c>
      <c r="L11" s="10" t="s">
        <v>10</v>
      </c>
      <c r="M11" s="10" t="s">
        <v>11</v>
      </c>
      <c r="N11" s="2"/>
      <c r="O11" s="2"/>
      <c r="P11" s="11"/>
      <c r="Q11" s="2"/>
      <c r="R11" s="2"/>
      <c r="S11" s="2"/>
      <c r="T11" s="2"/>
      <c r="U11" s="2"/>
      <c r="V11" s="2"/>
      <c r="W11" s="2"/>
      <c r="X11" s="2"/>
    </row>
    <row r="12" spans="1:24" ht="24.75" customHeight="1" x14ac:dyDescent="0.25">
      <c r="A12" s="1"/>
      <c r="B12" s="12" t="s">
        <v>72</v>
      </c>
      <c r="C12" s="13">
        <v>0.3</v>
      </c>
      <c r="D12" s="14"/>
      <c r="E12" s="15">
        <f>IF(ISERROR(AVERAGE(E14:E16))," ",AVERAGE(E14:E16))</f>
        <v>3</v>
      </c>
      <c r="F12" s="15">
        <f>IF(ISERROR(AVERAGE(F14:F16))," ",AVERAGE(F14:F16))</f>
        <v>3</v>
      </c>
      <c r="G12" s="15">
        <f>IF(ISERROR(AVERAGE(G14:G16))," ",AVERAGE(G14:G16))</f>
        <v>3</v>
      </c>
      <c r="H12" s="15">
        <f>IF(ISERROR(AVERAGE(H14:H16))," ",AVERAGE(H14:H16))</f>
        <v>3</v>
      </c>
      <c r="I12" s="10"/>
      <c r="J12" s="15"/>
      <c r="K12" s="16">
        <v>1</v>
      </c>
      <c r="L12" s="16">
        <v>2</v>
      </c>
      <c r="M12" s="16">
        <v>3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A13" s="1"/>
      <c r="B13" s="17" t="s">
        <v>13</v>
      </c>
      <c r="C13" s="18"/>
      <c r="D13" s="19"/>
      <c r="E13" s="20"/>
      <c r="F13" s="20"/>
      <c r="G13" s="20"/>
      <c r="H13" s="20"/>
      <c r="I13" s="10"/>
      <c r="J13" s="20"/>
      <c r="K13" s="20"/>
      <c r="L13" s="20"/>
      <c r="M13" s="2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21" customHeight="1" x14ac:dyDescent="0.25">
      <c r="A14" s="1"/>
      <c r="B14" s="12" t="s">
        <v>71</v>
      </c>
      <c r="C14" s="22"/>
      <c r="D14" s="23" t="s">
        <v>15</v>
      </c>
      <c r="E14" s="24">
        <v>3</v>
      </c>
      <c r="F14" s="24">
        <v>3</v>
      </c>
      <c r="G14" s="24">
        <v>3</v>
      </c>
      <c r="H14" s="24">
        <v>3</v>
      </c>
      <c r="I14" s="10"/>
      <c r="J14" s="25"/>
      <c r="K14" s="94" t="s">
        <v>68</v>
      </c>
      <c r="L14" s="94" t="s">
        <v>67</v>
      </c>
      <c r="M14" s="94" t="s">
        <v>37</v>
      </c>
      <c r="N14" s="1"/>
      <c r="O14" s="94"/>
      <c r="P14" s="94"/>
      <c r="Q14" s="94"/>
      <c r="R14" s="2"/>
      <c r="S14" s="2"/>
      <c r="T14" s="2"/>
      <c r="U14" s="2"/>
      <c r="V14" s="2"/>
      <c r="W14" s="2"/>
      <c r="X14" s="2"/>
    </row>
    <row r="15" spans="1:24" ht="21" customHeight="1" x14ac:dyDescent="0.25">
      <c r="A15" s="1"/>
      <c r="B15" s="12" t="s">
        <v>70</v>
      </c>
      <c r="C15" s="22"/>
      <c r="D15" s="23" t="s">
        <v>15</v>
      </c>
      <c r="E15" s="24">
        <v>3</v>
      </c>
      <c r="F15" s="24">
        <v>3</v>
      </c>
      <c r="G15" s="24">
        <v>3</v>
      </c>
      <c r="H15" s="24">
        <v>3</v>
      </c>
      <c r="I15" s="10"/>
      <c r="J15" s="25"/>
      <c r="K15" s="94" t="s">
        <v>68</v>
      </c>
      <c r="L15" s="94" t="s">
        <v>67</v>
      </c>
      <c r="M15" s="94" t="s">
        <v>37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1" customHeight="1" x14ac:dyDescent="0.25">
      <c r="A16" s="1"/>
      <c r="B16" s="12" t="s">
        <v>69</v>
      </c>
      <c r="C16" s="22"/>
      <c r="D16" s="23" t="s">
        <v>15</v>
      </c>
      <c r="E16" s="24">
        <v>3</v>
      </c>
      <c r="F16" s="24">
        <v>3</v>
      </c>
      <c r="G16" s="24">
        <v>3</v>
      </c>
      <c r="H16" s="24">
        <v>3</v>
      </c>
      <c r="I16" s="10"/>
      <c r="J16" s="25"/>
      <c r="K16" s="94" t="s">
        <v>68</v>
      </c>
      <c r="L16" s="94" t="s">
        <v>67</v>
      </c>
      <c r="M16" s="94" t="s">
        <v>37</v>
      </c>
      <c r="N16" s="1"/>
      <c r="O16" s="94"/>
      <c r="P16" s="94"/>
      <c r="Q16" s="94"/>
      <c r="R16" s="2"/>
      <c r="S16" s="2"/>
      <c r="T16" s="2"/>
      <c r="U16" s="2"/>
      <c r="V16" s="2"/>
      <c r="W16" s="2"/>
      <c r="X16" s="2"/>
    </row>
    <row r="17" spans="1:24" ht="24.75" customHeight="1" x14ac:dyDescent="0.25">
      <c r="A17" s="1"/>
      <c r="B17" s="7" t="s">
        <v>66</v>
      </c>
      <c r="C17" s="8" t="s">
        <v>3</v>
      </c>
      <c r="D17" s="9" t="s">
        <v>4</v>
      </c>
      <c r="E17" s="10" t="s">
        <v>5</v>
      </c>
      <c r="F17" s="10" t="s">
        <v>6</v>
      </c>
      <c r="G17" s="10" t="s">
        <v>7</v>
      </c>
      <c r="H17" s="10" t="s">
        <v>8</v>
      </c>
      <c r="I17" s="10"/>
      <c r="J17" s="10"/>
      <c r="K17" s="10" t="s">
        <v>9</v>
      </c>
      <c r="L17" s="10" t="s">
        <v>10</v>
      </c>
      <c r="M17" s="10" t="s">
        <v>11</v>
      </c>
      <c r="N17" s="2"/>
      <c r="O17" s="2"/>
      <c r="P17" s="11"/>
      <c r="Q17" s="2"/>
      <c r="R17" s="2"/>
      <c r="S17" s="2"/>
      <c r="T17" s="2"/>
      <c r="U17" s="2"/>
      <c r="V17" s="2"/>
      <c r="W17" s="2"/>
      <c r="X17" s="2"/>
    </row>
    <row r="18" spans="1:24" ht="24.75" customHeight="1" x14ac:dyDescent="0.25">
      <c r="A18" s="1"/>
      <c r="B18" s="12" t="s">
        <v>65</v>
      </c>
      <c r="C18" s="13">
        <v>0.2</v>
      </c>
      <c r="D18" s="14"/>
      <c r="E18" s="15">
        <f>IF(ISERROR(AVERAGE(E20:E20))," ",AVERAGE(E20:E20))</f>
        <v>3</v>
      </c>
      <c r="F18" s="15">
        <f>IF(ISERROR(AVERAGE(F20:F20))," ",AVERAGE(F20:F20))</f>
        <v>3</v>
      </c>
      <c r="G18" s="15">
        <f>IF(ISERROR(AVERAGE(G20:G20))," ",AVERAGE(G20:G20))</f>
        <v>3</v>
      </c>
      <c r="H18" s="15">
        <f>IF(ISERROR(AVERAGE(H20:H20))," ",AVERAGE(H20:H20))</f>
        <v>3</v>
      </c>
      <c r="I18" s="10"/>
      <c r="J18" s="16"/>
      <c r="K18" s="16">
        <v>1</v>
      </c>
      <c r="L18" s="16">
        <v>2</v>
      </c>
      <c r="M18" s="16">
        <v>3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1"/>
      <c r="B19" s="17" t="s">
        <v>13</v>
      </c>
      <c r="C19" s="18"/>
      <c r="D19" s="19"/>
      <c r="E19" s="20"/>
      <c r="F19" s="20"/>
      <c r="G19" s="20"/>
      <c r="H19" s="20"/>
      <c r="I19" s="10"/>
      <c r="J19" s="20"/>
      <c r="K19" s="20"/>
      <c r="L19" s="20"/>
      <c r="M19" s="2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1" customHeight="1" x14ac:dyDescent="0.25">
      <c r="A20" s="1"/>
      <c r="B20" s="12" t="s">
        <v>64</v>
      </c>
      <c r="C20" s="22"/>
      <c r="D20" s="23" t="s">
        <v>15</v>
      </c>
      <c r="E20" s="24">
        <v>3</v>
      </c>
      <c r="F20" s="24">
        <v>3</v>
      </c>
      <c r="G20" s="24">
        <v>3</v>
      </c>
      <c r="H20" s="24">
        <v>3</v>
      </c>
      <c r="I20" s="10"/>
      <c r="J20" s="94"/>
      <c r="K20" s="94" t="s">
        <v>16</v>
      </c>
      <c r="L20" s="94" t="s">
        <v>17</v>
      </c>
      <c r="M20" s="94" t="s">
        <v>18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1" customHeight="1" x14ac:dyDescent="0.25">
      <c r="A21" s="1"/>
      <c r="B21" s="12" t="s">
        <v>63</v>
      </c>
      <c r="C21" s="22"/>
      <c r="D21" s="23" t="s">
        <v>15</v>
      </c>
      <c r="E21" s="24">
        <v>3</v>
      </c>
      <c r="F21" s="24">
        <v>3</v>
      </c>
      <c r="G21" s="24">
        <v>3</v>
      </c>
      <c r="H21" s="24">
        <v>3</v>
      </c>
      <c r="I21" s="10"/>
      <c r="J21" s="94"/>
      <c r="K21" s="94" t="s">
        <v>16</v>
      </c>
      <c r="L21" s="94" t="s">
        <v>17</v>
      </c>
      <c r="M21" s="94" t="s">
        <v>18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24.75" customHeight="1" x14ac:dyDescent="0.25">
      <c r="A22" s="1"/>
      <c r="B22" s="7" t="s">
        <v>39</v>
      </c>
      <c r="C22" s="8" t="s">
        <v>3</v>
      </c>
      <c r="D22" s="9" t="s">
        <v>4</v>
      </c>
      <c r="E22" s="10" t="s">
        <v>5</v>
      </c>
      <c r="F22" s="10" t="s">
        <v>6</v>
      </c>
      <c r="G22" s="10" t="s">
        <v>7</v>
      </c>
      <c r="H22" s="10" t="s">
        <v>8</v>
      </c>
      <c r="I22" s="10"/>
      <c r="J22" s="10"/>
      <c r="K22" s="10" t="s">
        <v>9</v>
      </c>
      <c r="L22" s="10" t="s">
        <v>10</v>
      </c>
      <c r="M22" s="10" t="s">
        <v>11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4.75" customHeight="1" x14ac:dyDescent="0.25">
      <c r="A23" s="1"/>
      <c r="B23" s="11" t="s">
        <v>40</v>
      </c>
      <c r="C23" s="13">
        <v>0.2</v>
      </c>
      <c r="D23" s="14"/>
      <c r="E23" s="15">
        <f>IF(ISERROR(AVERAGE(E25:E27))," ",AVERAGE(E25:E27))</f>
        <v>3</v>
      </c>
      <c r="F23" s="15">
        <f>IF(ISERROR(AVERAGE(F25:F27))," ",AVERAGE(F25:F27))</f>
        <v>3</v>
      </c>
      <c r="G23" s="15">
        <f>IF(ISERROR(AVERAGE(G25:G27))," ",AVERAGE(G25:G27))</f>
        <v>3</v>
      </c>
      <c r="H23" s="15">
        <f>IF(ISERROR(AVERAGE(H25:H27))," ",AVERAGE(H25:H27))</f>
        <v>3</v>
      </c>
      <c r="I23" s="10"/>
      <c r="J23" s="15"/>
      <c r="K23" s="16">
        <v>1</v>
      </c>
      <c r="L23" s="16">
        <v>2</v>
      </c>
      <c r="M23" s="16">
        <v>3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1"/>
      <c r="B24" s="40" t="s">
        <v>13</v>
      </c>
      <c r="C24" s="18"/>
      <c r="D24" s="19"/>
      <c r="E24" s="20"/>
      <c r="F24" s="20"/>
      <c r="G24" s="20"/>
      <c r="H24" s="20"/>
      <c r="I24" s="10"/>
      <c r="J24" s="20"/>
      <c r="K24" s="20"/>
      <c r="L24" s="20"/>
      <c r="M24" s="2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1"/>
      <c r="B25" s="2" t="s">
        <v>62</v>
      </c>
      <c r="C25" s="2"/>
      <c r="D25" s="41" t="s">
        <v>15</v>
      </c>
      <c r="E25" s="24">
        <v>3</v>
      </c>
      <c r="F25" s="24">
        <v>3</v>
      </c>
      <c r="G25" s="24">
        <v>3</v>
      </c>
      <c r="H25" s="24">
        <v>3</v>
      </c>
      <c r="I25" s="9"/>
      <c r="J25" s="25"/>
      <c r="K25" s="93" t="s">
        <v>61</v>
      </c>
      <c r="L25" s="93" t="s">
        <v>60</v>
      </c>
      <c r="M25" s="93" t="s">
        <v>59</v>
      </c>
      <c r="N25" s="2"/>
      <c r="O25" s="2"/>
      <c r="P25" s="2"/>
      <c r="Q25" s="2"/>
      <c r="R25" s="2"/>
      <c r="S25" s="2"/>
    </row>
    <row r="26" spans="1:24" x14ac:dyDescent="0.25">
      <c r="A26" s="1"/>
      <c r="B26" s="2" t="s">
        <v>40</v>
      </c>
      <c r="C26" s="22"/>
      <c r="D26" s="41" t="s">
        <v>41</v>
      </c>
      <c r="E26" s="24">
        <v>3</v>
      </c>
      <c r="F26" s="24">
        <v>3</v>
      </c>
      <c r="G26" s="24">
        <v>3</v>
      </c>
      <c r="H26" s="24">
        <v>3</v>
      </c>
      <c r="I26" s="10"/>
      <c r="J26" s="25"/>
      <c r="K26" s="93" t="s">
        <v>42</v>
      </c>
      <c r="L26" s="93" t="s">
        <v>43</v>
      </c>
      <c r="M26" s="93"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25.5" x14ac:dyDescent="0.25">
      <c r="A27" s="43"/>
      <c r="B27" s="44" t="s">
        <v>44</v>
      </c>
      <c r="C27" s="45"/>
      <c r="D27" s="46" t="s">
        <v>41</v>
      </c>
      <c r="E27" s="92">
        <v>3</v>
      </c>
      <c r="F27" s="92">
        <v>3</v>
      </c>
      <c r="G27" s="92">
        <v>3</v>
      </c>
      <c r="H27" s="92">
        <v>3</v>
      </c>
      <c r="I27" s="47"/>
      <c r="J27" s="48"/>
      <c r="K27" s="42" t="s">
        <v>45</v>
      </c>
      <c r="L27" s="42" t="s">
        <v>46</v>
      </c>
      <c r="M27" s="42" t="s">
        <v>47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</row>
    <row r="28" spans="1:24" ht="24.75" customHeight="1" x14ac:dyDescent="0.25">
      <c r="A28" s="1"/>
      <c r="B28" s="49" t="s">
        <v>48</v>
      </c>
      <c r="C28" s="50">
        <f>SUM(C6:C27)</f>
        <v>1</v>
      </c>
      <c r="D28" s="51"/>
      <c r="E28" s="52">
        <f>(E7*$C$7)+(E12*$C$12)+(E18*$C$18)+(E23*$C$23)</f>
        <v>3</v>
      </c>
      <c r="F28" s="52">
        <f>(F7*$C$7)+(F12*$C$12)+(F18*$C$18)+(F23*$C$23)</f>
        <v>3</v>
      </c>
      <c r="G28" s="52">
        <f>(G7*$C$7)+(G12*$C$12)+(G18*$C$18)+(G23*$C$23)</f>
        <v>3</v>
      </c>
      <c r="H28" s="52">
        <f>(H7*$C$7)+(H12*$C$12)+(H18*$C$18)+(H23*$C$23)</f>
        <v>3</v>
      </c>
      <c r="I28" s="53">
        <f>AVERAGE(E28:H28)/3*100</f>
        <v>100</v>
      </c>
      <c r="J28" s="54"/>
      <c r="K28" s="55"/>
      <c r="L28" s="55"/>
      <c r="M28" s="5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30" spans="1:24" x14ac:dyDescent="0.25">
      <c r="E30" s="66" t="s">
        <v>49</v>
      </c>
      <c r="F30" s="65"/>
      <c r="G30" s="64"/>
      <c r="H30" s="66" t="s">
        <v>50</v>
      </c>
      <c r="I30" s="65"/>
      <c r="J30" s="65"/>
      <c r="K30" s="64"/>
      <c r="L30" s="63" t="s">
        <v>51</v>
      </c>
      <c r="M30" s="62"/>
    </row>
    <row r="31" spans="1:24" x14ac:dyDescent="0.25">
      <c r="E31" s="91" t="s">
        <v>52</v>
      </c>
      <c r="F31" s="91"/>
      <c r="G31" s="91"/>
      <c r="H31" s="91" t="s">
        <v>53</v>
      </c>
      <c r="I31" s="91"/>
      <c r="J31" s="91"/>
      <c r="K31" s="91"/>
      <c r="L31" s="90" t="s">
        <v>54</v>
      </c>
      <c r="M31" s="90"/>
    </row>
    <row r="32" spans="1:24" x14ac:dyDescent="0.25">
      <c r="E32" s="89">
        <v>46030</v>
      </c>
      <c r="F32" s="88"/>
      <c r="G32" s="87"/>
      <c r="H32" s="86"/>
      <c r="I32" s="85"/>
      <c r="J32" s="85"/>
      <c r="K32" s="84"/>
      <c r="L32" s="83"/>
      <c r="M32" s="82"/>
    </row>
    <row r="33" spans="5:13" x14ac:dyDescent="0.25">
      <c r="E33" s="81"/>
      <c r="F33" s="80"/>
      <c r="G33" s="79"/>
      <c r="H33" s="78"/>
      <c r="I33" s="56"/>
      <c r="J33" s="56"/>
      <c r="K33" s="77"/>
      <c r="L33" s="76"/>
      <c r="M33" s="75"/>
    </row>
    <row r="34" spans="5:13" x14ac:dyDescent="0.25">
      <c r="E34" s="81"/>
      <c r="F34" s="80"/>
      <c r="G34" s="79"/>
      <c r="H34" s="78"/>
      <c r="I34" s="56"/>
      <c r="J34" s="56"/>
      <c r="K34" s="77"/>
      <c r="L34" s="76"/>
      <c r="M34" s="75"/>
    </row>
    <row r="35" spans="5:13" x14ac:dyDescent="0.25">
      <c r="E35" s="74"/>
      <c r="F35" s="73"/>
      <c r="G35" s="72"/>
      <c r="H35" s="71"/>
      <c r="I35" s="70"/>
      <c r="J35" s="70"/>
      <c r="K35" s="69"/>
      <c r="L35" s="68"/>
      <c r="M35" s="67"/>
    </row>
    <row r="36" spans="5:13" x14ac:dyDescent="0.25">
      <c r="E36" s="66" t="s">
        <v>55</v>
      </c>
      <c r="F36" s="65"/>
      <c r="G36" s="64"/>
      <c r="H36" s="66" t="s">
        <v>56</v>
      </c>
      <c r="I36" s="65"/>
      <c r="J36" s="65"/>
      <c r="K36" s="64"/>
      <c r="L36" s="63" t="s">
        <v>57</v>
      </c>
      <c r="M36" s="62"/>
    </row>
  </sheetData>
  <mergeCells count="14">
    <mergeCell ref="L31:M31"/>
    <mergeCell ref="E32:G35"/>
    <mergeCell ref="H32:K35"/>
    <mergeCell ref="L32:M35"/>
    <mergeCell ref="B2:M2"/>
    <mergeCell ref="B4:M4"/>
    <mergeCell ref="E30:G30"/>
    <mergeCell ref="H30:K30"/>
    <mergeCell ref="L30:M30"/>
    <mergeCell ref="E36:G36"/>
    <mergeCell ref="H36:K36"/>
    <mergeCell ref="L36:M36"/>
    <mergeCell ref="E31:G31"/>
    <mergeCell ref="H31:K31"/>
  </mergeCells>
  <pageMargins left="0.5" right="0.2" top="0.5" bottom="0" header="0.511811023622047" footer="0.511811023622047"/>
  <pageSetup paperSize="9" scale="75" orientation="landscape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CADC-943F-412F-A9A9-09BB2F4C4E92}">
  <dimension ref="A1:X242"/>
  <sheetViews>
    <sheetView zoomScale="85" zoomScaleNormal="85" workbookViewId="0">
      <selection activeCell="B21" sqref="B21"/>
    </sheetView>
  </sheetViews>
  <sheetFormatPr defaultColWidth="14.42578125" defaultRowHeight="15" x14ac:dyDescent="0.25"/>
  <cols>
    <col min="1" max="1" width="2.42578125" customWidth="1"/>
    <col min="2" max="2" width="90.85546875" bestFit="1" customWidth="1"/>
    <col min="3" max="3" width="6.42578125" customWidth="1"/>
    <col min="4" max="4" width="12.28515625" customWidth="1"/>
    <col min="5" max="8" width="8.7109375" customWidth="1"/>
    <col min="9" max="9" width="8.5703125" customWidth="1"/>
    <col min="10" max="10" width="2.42578125" customWidth="1"/>
    <col min="12" max="12" width="14.5703125" customWidth="1"/>
    <col min="13" max="13" width="16.7109375" bestFit="1" customWidth="1"/>
    <col min="14" max="15" width="2.42578125" customWidth="1"/>
    <col min="16" max="19" width="9" customWidth="1"/>
  </cols>
  <sheetData>
    <row r="1" spans="1:24" ht="19.5" customHeight="1" x14ac:dyDescent="0.25">
      <c r="A1" s="1"/>
      <c r="B1" s="1"/>
      <c r="C1" s="2"/>
      <c r="D1" s="6"/>
      <c r="E1" s="6"/>
      <c r="F1" s="6"/>
      <c r="G1" s="6"/>
      <c r="H1" s="6"/>
      <c r="I1" s="6"/>
      <c r="J1" s="6"/>
      <c r="K1" s="1"/>
      <c r="L1" s="1"/>
      <c r="M1" s="1"/>
      <c r="N1" s="2"/>
      <c r="O1" s="2"/>
      <c r="P1" s="2"/>
      <c r="Q1" s="2"/>
      <c r="R1" s="2"/>
      <c r="S1" s="2"/>
    </row>
    <row r="2" spans="1:24" ht="24.75" customHeight="1" x14ac:dyDescent="0.25">
      <c r="A2" s="1"/>
      <c r="B2" s="231" t="s">
        <v>58</v>
      </c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"/>
      <c r="O2" s="2"/>
      <c r="P2" s="2"/>
      <c r="Q2" s="2"/>
      <c r="R2" s="2"/>
      <c r="S2" s="2"/>
    </row>
    <row r="3" spans="1:24" ht="24.75" customHeight="1" x14ac:dyDescent="0.25">
      <c r="A3" s="1"/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"/>
      <c r="O3" s="2"/>
      <c r="P3" s="2"/>
      <c r="Q3" s="2"/>
      <c r="R3" s="2"/>
      <c r="S3" s="2"/>
    </row>
    <row r="4" spans="1:24" ht="24.75" customHeight="1" x14ac:dyDescent="0.25">
      <c r="A4" s="1"/>
      <c r="B4" s="233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 t="s">
        <v>88</v>
      </c>
      <c r="N4" s="2"/>
      <c r="O4" s="2"/>
      <c r="P4" s="2"/>
      <c r="Q4" s="2"/>
      <c r="R4" s="2"/>
      <c r="S4" s="2"/>
    </row>
    <row r="5" spans="1:24" ht="24.75" customHeight="1" x14ac:dyDescent="0.25">
      <c r="A5" s="1"/>
      <c r="B5" s="100" t="s">
        <v>0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8"/>
      <c r="N5" s="2"/>
      <c r="O5" s="2"/>
      <c r="P5" s="2"/>
      <c r="Q5" s="2"/>
      <c r="R5" s="2"/>
      <c r="S5" s="2"/>
    </row>
    <row r="6" spans="1:24" ht="30" customHeight="1" x14ac:dyDescent="0.25">
      <c r="A6" s="1"/>
      <c r="B6" s="97" t="s">
        <v>1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5"/>
      <c r="N6" s="2"/>
      <c r="O6" s="2"/>
      <c r="P6" s="2"/>
      <c r="Q6" s="2"/>
      <c r="R6" s="2"/>
      <c r="S6" s="2"/>
    </row>
    <row r="7" spans="1:24" ht="19.5" customHeight="1" x14ac:dyDescent="0.25">
      <c r="A7" s="1"/>
      <c r="B7" s="1"/>
      <c r="C7" s="2"/>
      <c r="D7" s="2"/>
      <c r="E7" s="6"/>
      <c r="F7" s="6"/>
      <c r="G7" s="6"/>
      <c r="H7" s="6"/>
      <c r="I7" s="6"/>
      <c r="J7" s="2"/>
      <c r="K7" s="1"/>
      <c r="L7" s="1"/>
      <c r="M7" s="1"/>
      <c r="N7" s="2"/>
      <c r="O7" s="2"/>
      <c r="P7" s="2"/>
      <c r="Q7" s="2"/>
      <c r="R7" s="2"/>
      <c r="S7" s="2"/>
    </row>
    <row r="8" spans="1:24" ht="24.75" customHeight="1" x14ac:dyDescent="0.25">
      <c r="A8" s="1"/>
      <c r="B8" s="7" t="s">
        <v>2</v>
      </c>
      <c r="C8" s="8" t="s">
        <v>3</v>
      </c>
      <c r="D8" s="9" t="s">
        <v>4</v>
      </c>
      <c r="E8" s="10" t="s">
        <v>5</v>
      </c>
      <c r="F8" s="10" t="s">
        <v>6</v>
      </c>
      <c r="G8" s="10" t="s">
        <v>7</v>
      </c>
      <c r="H8" s="10" t="s">
        <v>8</v>
      </c>
      <c r="I8" s="10"/>
      <c r="J8" s="10"/>
      <c r="K8" s="10" t="s">
        <v>9</v>
      </c>
      <c r="L8" s="10" t="s">
        <v>10</v>
      </c>
      <c r="M8" s="10" t="s">
        <v>11</v>
      </c>
      <c r="N8" s="2"/>
      <c r="O8" s="2"/>
      <c r="P8" s="11"/>
      <c r="Q8" s="2"/>
      <c r="R8" s="2"/>
      <c r="S8" s="2"/>
      <c r="T8" s="2"/>
      <c r="U8" s="2"/>
      <c r="V8" s="2"/>
      <c r="W8" s="2"/>
      <c r="X8" s="2"/>
    </row>
    <row r="9" spans="1:24" ht="24.75" customHeight="1" x14ac:dyDescent="0.25">
      <c r="A9" s="1"/>
      <c r="B9" s="12" t="s">
        <v>12</v>
      </c>
      <c r="C9" s="13">
        <v>0.3</v>
      </c>
      <c r="D9" s="14"/>
      <c r="E9" s="15">
        <f>IF(ISERROR(AVERAGE(E11:E12))," ",AVERAGE(E11:E12))</f>
        <v>3</v>
      </c>
      <c r="F9" s="15">
        <f t="shared" ref="F9:H9" si="0">IF(ISERROR(AVERAGE(F11:F12))," ",AVERAGE(F11:F12))</f>
        <v>3</v>
      </c>
      <c r="G9" s="15">
        <f t="shared" si="0"/>
        <v>3</v>
      </c>
      <c r="H9" s="15">
        <f t="shared" si="0"/>
        <v>3</v>
      </c>
      <c r="I9" s="10"/>
      <c r="J9" s="15"/>
      <c r="K9" s="16">
        <v>1</v>
      </c>
      <c r="L9" s="16">
        <v>2</v>
      </c>
      <c r="M9" s="16">
        <v>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4.75" customHeight="1" x14ac:dyDescent="0.25">
      <c r="A10" s="1"/>
      <c r="B10" s="17" t="s">
        <v>13</v>
      </c>
      <c r="C10" s="18"/>
      <c r="D10" s="19"/>
      <c r="E10" s="20"/>
      <c r="F10" s="20"/>
      <c r="G10" s="20"/>
      <c r="H10" s="20"/>
      <c r="I10" s="10"/>
      <c r="J10" s="20"/>
      <c r="K10" s="20"/>
      <c r="L10" s="20"/>
      <c r="M10" s="2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5.5" x14ac:dyDescent="0.25">
      <c r="A11" s="1"/>
      <c r="B11" s="12" t="s">
        <v>19</v>
      </c>
      <c r="C11" s="22"/>
      <c r="D11" s="23" t="s">
        <v>15</v>
      </c>
      <c r="E11" s="24">
        <v>3</v>
      </c>
      <c r="F11" s="24">
        <v>3</v>
      </c>
      <c r="G11" s="24">
        <v>3</v>
      </c>
      <c r="H11" s="24">
        <v>3</v>
      </c>
      <c r="I11" s="10"/>
      <c r="J11" s="25"/>
      <c r="K11" s="94" t="s">
        <v>76</v>
      </c>
      <c r="L11" s="94" t="s">
        <v>77</v>
      </c>
      <c r="M11" s="94" t="s">
        <v>18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A12" s="1"/>
      <c r="B12" s="12" t="s">
        <v>20</v>
      </c>
      <c r="C12" s="22"/>
      <c r="D12" s="23" t="s">
        <v>15</v>
      </c>
      <c r="E12" s="265">
        <v>3</v>
      </c>
      <c r="F12" s="24">
        <v>3</v>
      </c>
      <c r="G12" s="103">
        <v>3</v>
      </c>
      <c r="H12" s="24">
        <v>3</v>
      </c>
      <c r="I12" s="10"/>
      <c r="J12" s="25"/>
      <c r="K12" s="94" t="s">
        <v>76</v>
      </c>
      <c r="L12" s="94" t="s">
        <v>77</v>
      </c>
      <c r="M12" s="94" t="s">
        <v>18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24.75" customHeight="1" x14ac:dyDescent="0.25">
      <c r="A13" s="2"/>
      <c r="B13" s="27" t="s">
        <v>100</v>
      </c>
      <c r="C13" s="28" t="s">
        <v>3</v>
      </c>
      <c r="D13" s="29" t="s">
        <v>4</v>
      </c>
      <c r="E13" s="10" t="s">
        <v>5</v>
      </c>
      <c r="F13" s="10" t="s">
        <v>6</v>
      </c>
      <c r="G13" s="10" t="s">
        <v>7</v>
      </c>
      <c r="H13" s="10" t="s">
        <v>8</v>
      </c>
      <c r="I13" s="10"/>
      <c r="J13" s="10"/>
      <c r="K13" s="10" t="s">
        <v>9</v>
      </c>
      <c r="L13" s="10" t="s">
        <v>10</v>
      </c>
      <c r="M13" s="10" t="s">
        <v>11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24.75" customHeight="1" x14ac:dyDescent="0.25">
      <c r="A14" s="2"/>
      <c r="B14" s="12" t="s">
        <v>101</v>
      </c>
      <c r="C14" s="13">
        <v>0.3</v>
      </c>
      <c r="D14" s="14"/>
      <c r="E14" s="15">
        <f>IF(ISERROR(AVERAGE(E16:E17))," ",AVERAGE(E16:E17))</f>
        <v>3</v>
      </c>
      <c r="F14" s="15">
        <f t="shared" ref="F14:H14" si="1">IF(ISERROR(AVERAGE(F16:F17))," ",AVERAGE(F16:F17))</f>
        <v>3</v>
      </c>
      <c r="G14" s="15">
        <f t="shared" si="1"/>
        <v>3</v>
      </c>
      <c r="H14" s="15">
        <f t="shared" si="1"/>
        <v>3</v>
      </c>
      <c r="I14" s="10"/>
      <c r="J14" s="15"/>
      <c r="K14" s="16">
        <v>1</v>
      </c>
      <c r="L14" s="16">
        <v>2</v>
      </c>
      <c r="M14" s="16">
        <v>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24.75" customHeight="1" x14ac:dyDescent="0.25">
      <c r="A15" s="2"/>
      <c r="B15" s="17" t="s">
        <v>13</v>
      </c>
      <c r="C15" s="18"/>
      <c r="D15" s="19"/>
      <c r="E15" s="20"/>
      <c r="F15" s="20"/>
      <c r="G15" s="20"/>
      <c r="H15" s="20"/>
      <c r="I15" s="10"/>
      <c r="J15" s="20"/>
      <c r="K15" s="20"/>
      <c r="L15" s="20"/>
      <c r="M15" s="2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5.5" x14ac:dyDescent="0.25">
      <c r="A16" s="2"/>
      <c r="B16" s="12" t="s">
        <v>102</v>
      </c>
      <c r="C16" s="22"/>
      <c r="D16" s="23" t="s">
        <v>15</v>
      </c>
      <c r="E16" s="24">
        <v>3</v>
      </c>
      <c r="F16" s="24">
        <v>3</v>
      </c>
      <c r="G16" s="24">
        <v>3</v>
      </c>
      <c r="H16" s="24">
        <v>3</v>
      </c>
      <c r="I16" s="10"/>
      <c r="J16" s="25"/>
      <c r="K16" s="94" t="s">
        <v>16</v>
      </c>
      <c r="L16" s="94" t="s">
        <v>17</v>
      </c>
      <c r="M16" s="94" t="s">
        <v>18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2"/>
      <c r="B17" s="12" t="s">
        <v>103</v>
      </c>
      <c r="C17" s="22"/>
      <c r="D17" s="23" t="s">
        <v>15</v>
      </c>
      <c r="E17" s="24">
        <v>3</v>
      </c>
      <c r="F17" s="24">
        <v>3</v>
      </c>
      <c r="G17" s="24">
        <v>3</v>
      </c>
      <c r="H17" s="24">
        <v>3</v>
      </c>
      <c r="I17" s="10"/>
      <c r="J17" s="25"/>
      <c r="K17" s="94" t="s">
        <v>16</v>
      </c>
      <c r="L17" s="94" t="s">
        <v>17</v>
      </c>
      <c r="M17" s="94" t="s">
        <v>18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4.75" customHeight="1" x14ac:dyDescent="0.25">
      <c r="A18" s="2"/>
      <c r="B18" s="27" t="s">
        <v>104</v>
      </c>
      <c r="C18" s="28" t="s">
        <v>3</v>
      </c>
      <c r="D18" s="29" t="s">
        <v>4</v>
      </c>
      <c r="E18" s="10" t="s">
        <v>5</v>
      </c>
      <c r="F18" s="10" t="s">
        <v>6</v>
      </c>
      <c r="G18" s="10" t="s">
        <v>7</v>
      </c>
      <c r="H18" s="10" t="s">
        <v>8</v>
      </c>
      <c r="I18" s="10"/>
      <c r="J18" s="10"/>
      <c r="K18" s="10" t="s">
        <v>9</v>
      </c>
      <c r="L18" s="10" t="s">
        <v>10</v>
      </c>
      <c r="M18" s="10" t="s">
        <v>11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24.75" customHeight="1" x14ac:dyDescent="0.25">
      <c r="A19" s="2"/>
      <c r="B19" s="12" t="s">
        <v>105</v>
      </c>
      <c r="C19" s="13">
        <v>0.2</v>
      </c>
      <c r="D19" s="14"/>
      <c r="E19" s="15">
        <f>IF(ISERROR(AVERAGE(E21:E21))," ",AVERAGE(E21:E21))</f>
        <v>3</v>
      </c>
      <c r="F19" s="15">
        <f t="shared" ref="F19:H19" si="2">IF(ISERROR(AVERAGE(F21:F21))," ",AVERAGE(F21:F21))</f>
        <v>3</v>
      </c>
      <c r="G19" s="15">
        <f t="shared" si="2"/>
        <v>3</v>
      </c>
      <c r="H19" s="15">
        <f t="shared" si="2"/>
        <v>3</v>
      </c>
      <c r="I19" s="10"/>
      <c r="J19" s="15"/>
      <c r="K19" s="16">
        <v>1</v>
      </c>
      <c r="L19" s="16">
        <v>2</v>
      </c>
      <c r="M19" s="16">
        <v>3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4.75" customHeight="1" x14ac:dyDescent="0.25">
      <c r="A20" s="2"/>
      <c r="B20" s="17" t="s">
        <v>13</v>
      </c>
      <c r="C20" s="18"/>
      <c r="D20" s="19"/>
      <c r="E20" s="20"/>
      <c r="F20" s="20"/>
      <c r="G20" s="20"/>
      <c r="H20" s="20"/>
      <c r="I20" s="10"/>
      <c r="J20" s="20"/>
      <c r="K20" s="20"/>
      <c r="L20" s="20"/>
      <c r="M20" s="2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38.25" x14ac:dyDescent="0.25">
      <c r="A21" s="2"/>
      <c r="B21" s="235" t="s">
        <v>106</v>
      </c>
      <c r="C21" s="22"/>
      <c r="D21" s="23" t="s">
        <v>15</v>
      </c>
      <c r="E21" s="24">
        <v>3</v>
      </c>
      <c r="F21" s="24">
        <v>3</v>
      </c>
      <c r="G21" s="24">
        <v>3</v>
      </c>
      <c r="H21" s="24">
        <v>3</v>
      </c>
      <c r="I21" s="10"/>
      <c r="J21" s="25"/>
      <c r="K21" s="94" t="s">
        <v>16</v>
      </c>
      <c r="L21" s="94" t="s">
        <v>17</v>
      </c>
      <c r="M21" s="94" t="s">
        <v>18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24.75" customHeight="1" x14ac:dyDescent="0.25">
      <c r="A22" s="1"/>
      <c r="B22" s="7" t="s">
        <v>39</v>
      </c>
      <c r="C22" s="8" t="s">
        <v>3</v>
      </c>
      <c r="D22" s="9" t="s">
        <v>4</v>
      </c>
      <c r="E22" s="10" t="s">
        <v>5</v>
      </c>
      <c r="F22" s="10" t="s">
        <v>6</v>
      </c>
      <c r="G22" s="10" t="s">
        <v>7</v>
      </c>
      <c r="H22" s="10" t="s">
        <v>8</v>
      </c>
      <c r="I22" s="10"/>
      <c r="J22" s="10"/>
      <c r="K22" s="10" t="s">
        <v>9</v>
      </c>
      <c r="L22" s="10" t="s">
        <v>10</v>
      </c>
      <c r="M22" s="10" t="s">
        <v>11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4.75" customHeight="1" x14ac:dyDescent="0.25">
      <c r="A23" s="1"/>
      <c r="B23" s="11" t="s">
        <v>40</v>
      </c>
      <c r="C23" s="13">
        <v>0.2</v>
      </c>
      <c r="D23" s="14"/>
      <c r="E23" s="15">
        <f>IF(ISERROR(AVERAGE(E25:E27))," ",AVERAGE(E25:E27))</f>
        <v>3</v>
      </c>
      <c r="F23" s="15">
        <f t="shared" ref="F23:H23" si="3">IF(ISERROR(AVERAGE(F25:F27))," ",AVERAGE(F25:F27))</f>
        <v>3</v>
      </c>
      <c r="G23" s="15">
        <f t="shared" si="3"/>
        <v>3</v>
      </c>
      <c r="H23" s="15">
        <f t="shared" si="3"/>
        <v>3</v>
      </c>
      <c r="I23" s="10"/>
      <c r="J23" s="15"/>
      <c r="K23" s="16">
        <v>1</v>
      </c>
      <c r="L23" s="16">
        <v>2</v>
      </c>
      <c r="M23" s="16">
        <v>3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24.75" customHeight="1" x14ac:dyDescent="0.25">
      <c r="A24" s="1"/>
      <c r="B24" s="40" t="s">
        <v>13</v>
      </c>
      <c r="C24" s="18"/>
      <c r="D24" s="19"/>
      <c r="E24" s="20"/>
      <c r="F24" s="20"/>
      <c r="G24" s="20"/>
      <c r="H24" s="20"/>
      <c r="I24" s="10"/>
      <c r="J24" s="20"/>
      <c r="K24" s="20"/>
      <c r="L24" s="20"/>
      <c r="M24" s="2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24.75" customHeight="1" x14ac:dyDescent="0.25">
      <c r="A25" s="1"/>
      <c r="B25" s="236" t="s">
        <v>40</v>
      </c>
      <c r="C25" s="236"/>
      <c r="D25" s="237" t="s">
        <v>15</v>
      </c>
      <c r="E25" s="238">
        <v>3</v>
      </c>
      <c r="F25" s="238">
        <v>3</v>
      </c>
      <c r="G25" s="238">
        <v>3</v>
      </c>
      <c r="H25" s="238">
        <v>3</v>
      </c>
      <c r="I25" s="9"/>
      <c r="J25" s="25"/>
      <c r="K25" s="239" t="s">
        <v>98</v>
      </c>
      <c r="L25" s="239" t="s">
        <v>67</v>
      </c>
      <c r="M25" s="239" t="s">
        <v>37</v>
      </c>
      <c r="N25" s="2"/>
      <c r="O25" s="2"/>
      <c r="P25" s="2"/>
      <c r="Q25" s="2"/>
      <c r="R25" s="2"/>
      <c r="S25" s="2"/>
    </row>
    <row r="26" spans="1:24" ht="24.75" customHeight="1" x14ac:dyDescent="0.25">
      <c r="A26" s="1"/>
      <c r="B26" s="236" t="s">
        <v>99</v>
      </c>
      <c r="C26" s="240"/>
      <c r="D26" s="237" t="s">
        <v>41</v>
      </c>
      <c r="E26" s="238">
        <v>3</v>
      </c>
      <c r="F26" s="238">
        <v>3</v>
      </c>
      <c r="G26" s="238">
        <v>3</v>
      </c>
      <c r="H26" s="238">
        <v>3</v>
      </c>
      <c r="I26" s="10"/>
      <c r="J26" s="25"/>
      <c r="K26" s="239" t="s">
        <v>61</v>
      </c>
      <c r="L26" s="239" t="s">
        <v>60</v>
      </c>
      <c r="M26" s="239" t="s">
        <v>59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24.75" customHeight="1" x14ac:dyDescent="0.25">
      <c r="A27" s="43"/>
      <c r="B27" s="44" t="s">
        <v>44</v>
      </c>
      <c r="C27" s="45"/>
      <c r="D27" s="46" t="s">
        <v>41</v>
      </c>
      <c r="E27" s="92">
        <v>3</v>
      </c>
      <c r="F27" s="92">
        <v>3</v>
      </c>
      <c r="G27" s="92">
        <v>3</v>
      </c>
      <c r="H27" s="92">
        <v>3</v>
      </c>
      <c r="I27" s="47"/>
      <c r="J27" s="48"/>
      <c r="K27" s="239" t="s">
        <v>45</v>
      </c>
      <c r="L27" s="239" t="s">
        <v>46</v>
      </c>
      <c r="M27" s="239" t="s">
        <v>47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</row>
    <row r="28" spans="1:24" ht="24.75" customHeight="1" x14ac:dyDescent="0.25">
      <c r="A28" s="1"/>
      <c r="B28" s="49" t="s">
        <v>48</v>
      </c>
      <c r="C28" s="50">
        <f>SUM(C9:C26)</f>
        <v>1</v>
      </c>
      <c r="D28" s="51"/>
      <c r="E28" s="52">
        <f>(E9*$C$9)+(E14*$C$14)+(E19*$C$19)+(E23*$C$23)</f>
        <v>3</v>
      </c>
      <c r="F28" s="52">
        <f>(F9*$C$9)+(F14*$C$14)+(F19*$C$19)+(F23*$C$23)</f>
        <v>3</v>
      </c>
      <c r="G28" s="52">
        <f>(G9*$C$9)+(G14*$C$14)+(G19*$C$19)+(G23*$C$23)</f>
        <v>3</v>
      </c>
      <c r="H28" s="52">
        <f>(H9*$C$9)+(H14*$C$14)+(H19*$C$19)+(H23*$C$23)</f>
        <v>3</v>
      </c>
      <c r="I28" s="241">
        <f>AVERAGE(E28:H28)/3*100</f>
        <v>100</v>
      </c>
      <c r="J28" s="54"/>
      <c r="K28" s="55"/>
      <c r="L28" s="55"/>
      <c r="M28" s="5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9.5" customHeight="1" x14ac:dyDescent="0.25">
      <c r="A29" s="1"/>
      <c r="B29" s="1"/>
      <c r="C29" s="2"/>
      <c r="D29" s="6"/>
      <c r="E29" s="6"/>
      <c r="F29" s="6"/>
      <c r="G29" s="6"/>
      <c r="H29" s="6"/>
      <c r="I29" s="6"/>
      <c r="J29" s="6"/>
      <c r="K29" s="1"/>
      <c r="L29" s="1"/>
      <c r="M29" s="1"/>
      <c r="N29" s="2"/>
      <c r="O29" s="2"/>
      <c r="P29" s="2"/>
      <c r="Q29" s="2"/>
      <c r="R29" s="2"/>
      <c r="S29" s="2"/>
    </row>
    <row r="30" spans="1:24" ht="19.5" customHeight="1" x14ac:dyDescent="0.25">
      <c r="A30" s="1"/>
      <c r="B30" s="1"/>
      <c r="C30" s="2"/>
      <c r="D30" s="6"/>
      <c r="E30" s="6"/>
      <c r="F30" s="6"/>
      <c r="G30" s="6"/>
      <c r="H30" s="6"/>
      <c r="I30" s="6"/>
      <c r="J30" s="6"/>
      <c r="K30" s="1"/>
      <c r="L30" s="1"/>
      <c r="M30" s="1"/>
      <c r="N30" s="2"/>
      <c r="O30" s="2"/>
      <c r="P30" s="2"/>
      <c r="Q30" s="2"/>
      <c r="R30" s="2"/>
      <c r="S30" s="2"/>
    </row>
    <row r="31" spans="1:24" ht="19.5" customHeight="1" x14ac:dyDescent="0.25">
      <c r="A31" s="1"/>
      <c r="B31" s="1"/>
      <c r="C31" s="2"/>
      <c r="D31" s="6"/>
      <c r="E31" s="6"/>
      <c r="F31" s="6"/>
      <c r="G31" s="6"/>
      <c r="H31" s="6"/>
      <c r="I31" s="6"/>
      <c r="J31" s="6"/>
      <c r="K31" s="1"/>
      <c r="L31" s="1"/>
      <c r="M31" s="1"/>
      <c r="N31" s="2"/>
      <c r="O31" s="2"/>
      <c r="P31" s="2"/>
      <c r="Q31" s="2"/>
      <c r="R31" s="2"/>
      <c r="S31" s="2"/>
    </row>
    <row r="32" spans="1:24" ht="15.75" customHeight="1" x14ac:dyDescent="0.25">
      <c r="B32" s="242" t="s">
        <v>107</v>
      </c>
    </row>
    <row r="33" spans="2:12" ht="15.75" customHeight="1" x14ac:dyDescent="0.25">
      <c r="B33" s="38"/>
    </row>
    <row r="34" spans="2:12" ht="15.75" customHeight="1" x14ac:dyDescent="0.25">
      <c r="D34" s="243" t="s">
        <v>49</v>
      </c>
      <c r="E34" s="244"/>
      <c r="F34" s="245"/>
      <c r="G34" s="243" t="s">
        <v>50</v>
      </c>
      <c r="H34" s="244"/>
      <c r="I34" s="244"/>
      <c r="J34" s="245"/>
      <c r="K34" s="246" t="s">
        <v>51</v>
      </c>
      <c r="L34" s="247"/>
    </row>
    <row r="35" spans="2:12" ht="15.75" customHeight="1" x14ac:dyDescent="0.25">
      <c r="D35" s="248" t="s">
        <v>52</v>
      </c>
      <c r="E35" s="248"/>
      <c r="F35" s="248"/>
      <c r="G35" s="248" t="s">
        <v>53</v>
      </c>
      <c r="H35" s="248"/>
      <c r="I35" s="248"/>
      <c r="J35" s="248"/>
      <c r="K35" s="249" t="s">
        <v>54</v>
      </c>
      <c r="L35" s="249"/>
    </row>
    <row r="36" spans="2:12" ht="15.75" customHeight="1" x14ac:dyDescent="0.25">
      <c r="D36" s="250"/>
      <c r="E36" s="251"/>
      <c r="F36" s="252"/>
      <c r="G36" s="250"/>
      <c r="H36" s="251"/>
      <c r="I36" s="251"/>
      <c r="J36" s="252"/>
      <c r="K36" s="253"/>
      <c r="L36" s="254"/>
    </row>
    <row r="37" spans="2:12" ht="15.75" customHeight="1" x14ac:dyDescent="0.25">
      <c r="D37" s="255"/>
      <c r="E37" s="256"/>
      <c r="F37" s="257"/>
      <c r="G37" s="255"/>
      <c r="H37" s="256"/>
      <c r="I37" s="256"/>
      <c r="J37" s="257"/>
      <c r="K37" s="258"/>
      <c r="L37" s="259"/>
    </row>
    <row r="38" spans="2:12" ht="15.75" customHeight="1" x14ac:dyDescent="0.25">
      <c r="D38" s="255"/>
      <c r="E38" s="256"/>
      <c r="F38" s="257"/>
      <c r="G38" s="255"/>
      <c r="H38" s="256"/>
      <c r="I38" s="256"/>
      <c r="J38" s="257"/>
      <c r="K38" s="258"/>
      <c r="L38" s="259"/>
    </row>
    <row r="39" spans="2:12" ht="15.75" customHeight="1" x14ac:dyDescent="0.25">
      <c r="D39" s="260"/>
      <c r="E39" s="261"/>
      <c r="F39" s="262"/>
      <c r="G39" s="260"/>
      <c r="H39" s="261"/>
      <c r="I39" s="261"/>
      <c r="J39" s="262"/>
      <c r="K39" s="263"/>
      <c r="L39" s="264"/>
    </row>
    <row r="40" spans="2:12" ht="15.75" customHeight="1" x14ac:dyDescent="0.25">
      <c r="D40" s="243" t="s">
        <v>55</v>
      </c>
      <c r="E40" s="244"/>
      <c r="F40" s="245"/>
      <c r="G40" s="243" t="s">
        <v>56</v>
      </c>
      <c r="H40" s="244"/>
      <c r="I40" s="244"/>
      <c r="J40" s="245"/>
      <c r="K40" s="246" t="s">
        <v>57</v>
      </c>
      <c r="L40" s="247"/>
    </row>
    <row r="41" spans="2:12" ht="15.75" customHeight="1" x14ac:dyDescent="0.25"/>
    <row r="42" spans="2:12" ht="15.75" customHeight="1" x14ac:dyDescent="0.25"/>
    <row r="43" spans="2:12" ht="15.75" customHeight="1" x14ac:dyDescent="0.25"/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</sheetData>
  <mergeCells count="14">
    <mergeCell ref="D36:F39"/>
    <mergeCell ref="G36:J39"/>
    <mergeCell ref="K36:L39"/>
    <mergeCell ref="D40:F40"/>
    <mergeCell ref="G40:J40"/>
    <mergeCell ref="K40:L40"/>
    <mergeCell ref="B2:M2"/>
    <mergeCell ref="B6:M6"/>
    <mergeCell ref="D34:F34"/>
    <mergeCell ref="G34:J34"/>
    <mergeCell ref="K34:L34"/>
    <mergeCell ref="D35:F35"/>
    <mergeCell ref="G35:J35"/>
    <mergeCell ref="K35:L35"/>
  </mergeCells>
  <printOptions verticalCentered="1"/>
  <pageMargins left="0.7" right="0.7" top="0" bottom="0" header="0.3" footer="0.3"/>
  <pageSetup scale="59" orientation="landscape" horizontalDpi="0" verticalDpi="0" r:id="rId1"/>
  <colBreaks count="1" manualBreakCount="1">
    <brk id="15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F032-622B-4BC9-8263-40FB9E763DA5}">
  <dimension ref="A1:X246"/>
  <sheetViews>
    <sheetView zoomScaleNormal="100" workbookViewId="0">
      <selection activeCell="B16" sqref="B16"/>
    </sheetView>
  </sheetViews>
  <sheetFormatPr defaultColWidth="14.42578125" defaultRowHeight="15" x14ac:dyDescent="0.25"/>
  <cols>
    <col min="1" max="1" width="2.42578125" style="109" customWidth="1"/>
    <col min="2" max="2" width="76" style="109" bestFit="1" customWidth="1"/>
    <col min="3" max="3" width="5.85546875" style="109" bestFit="1" customWidth="1"/>
    <col min="4" max="4" width="12.28515625" style="109" customWidth="1"/>
    <col min="5" max="8" width="8.7109375" style="109" customWidth="1"/>
    <col min="9" max="9" width="8.5703125" style="109" customWidth="1"/>
    <col min="10" max="10" width="2.42578125" style="109" customWidth="1"/>
    <col min="11" max="11" width="13.42578125" style="109" customWidth="1"/>
    <col min="12" max="12" width="13.7109375" style="109" customWidth="1"/>
    <col min="13" max="13" width="16.7109375" style="109" customWidth="1"/>
    <col min="14" max="14" width="2.42578125" style="109" customWidth="1"/>
    <col min="15" max="15" width="19.42578125" style="109" customWidth="1"/>
    <col min="16" max="16384" width="14.42578125" style="109"/>
  </cols>
  <sheetData>
    <row r="1" spans="1:19" ht="19.5" customHeight="1" x14ac:dyDescent="0.25">
      <c r="A1" s="104"/>
      <c r="B1" s="212"/>
      <c r="C1" s="213"/>
      <c r="D1" s="214"/>
      <c r="E1" s="214"/>
      <c r="F1" s="214"/>
      <c r="G1" s="214"/>
      <c r="H1" s="214"/>
      <c r="I1" s="214"/>
      <c r="J1" s="214"/>
      <c r="K1" s="215"/>
      <c r="L1" s="215"/>
      <c r="M1" s="216"/>
      <c r="N1" s="108"/>
      <c r="O1" s="108"/>
    </row>
    <row r="2" spans="1:19" ht="24.75" customHeight="1" x14ac:dyDescent="0.25">
      <c r="A2" s="104"/>
      <c r="B2" s="217" t="s">
        <v>82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9"/>
      <c r="N2" s="108"/>
      <c r="O2" s="108"/>
    </row>
    <row r="3" spans="1:19" ht="24.75" customHeight="1" x14ac:dyDescent="0.25">
      <c r="A3" s="104"/>
      <c r="B3" s="110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2"/>
      <c r="N3" s="108"/>
      <c r="O3" s="108"/>
    </row>
    <row r="4" spans="1:19" ht="24.75" customHeight="1" x14ac:dyDescent="0.25">
      <c r="A4" s="104"/>
      <c r="B4" s="220" t="s">
        <v>87</v>
      </c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2" t="s">
        <v>88</v>
      </c>
      <c r="N4" s="108"/>
      <c r="O4" s="108"/>
      <c r="P4" s="108"/>
      <c r="Q4" s="108"/>
      <c r="R4" s="108"/>
      <c r="S4" s="108"/>
    </row>
    <row r="5" spans="1:19" ht="24.75" customHeight="1" x14ac:dyDescent="0.25">
      <c r="A5" s="104"/>
      <c r="B5" s="121" t="s">
        <v>0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108"/>
      <c r="O5" s="108"/>
    </row>
    <row r="6" spans="1:19" ht="49.5" customHeight="1" x14ac:dyDescent="0.25">
      <c r="A6" s="104"/>
      <c r="B6" s="124" t="s">
        <v>1</v>
      </c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6"/>
      <c r="N6" s="108"/>
      <c r="O6" s="108"/>
    </row>
    <row r="7" spans="1:19" ht="19.5" customHeight="1" x14ac:dyDescent="0.25">
      <c r="A7" s="104"/>
      <c r="B7" s="127"/>
      <c r="C7" s="108"/>
      <c r="D7" s="108"/>
      <c r="E7" s="128"/>
      <c r="F7" s="128"/>
      <c r="G7" s="128"/>
      <c r="H7" s="128"/>
      <c r="I7" s="128"/>
      <c r="J7" s="108"/>
      <c r="K7" s="104"/>
      <c r="L7" s="104"/>
      <c r="M7" s="129"/>
      <c r="N7" s="108"/>
      <c r="O7" s="108"/>
    </row>
    <row r="8" spans="1:19" ht="24.75" customHeight="1" x14ac:dyDescent="0.25">
      <c r="A8" s="104"/>
      <c r="B8" s="130" t="s">
        <v>2</v>
      </c>
      <c r="C8" s="131" t="s">
        <v>3</v>
      </c>
      <c r="D8" s="132" t="s">
        <v>4</v>
      </c>
      <c r="E8" s="133" t="s">
        <v>5</v>
      </c>
      <c r="F8" s="133" t="s">
        <v>6</v>
      </c>
      <c r="G8" s="133" t="s">
        <v>7</v>
      </c>
      <c r="H8" s="133" t="s">
        <v>8</v>
      </c>
      <c r="I8" s="133"/>
      <c r="J8" s="133"/>
      <c r="K8" s="133" t="s">
        <v>9</v>
      </c>
      <c r="L8" s="133" t="s">
        <v>10</v>
      </c>
      <c r="M8" s="134" t="s">
        <v>11</v>
      </c>
      <c r="N8" s="108"/>
      <c r="O8" s="108"/>
      <c r="P8" s="108"/>
    </row>
    <row r="9" spans="1:19" ht="24.75" customHeight="1" x14ac:dyDescent="0.25">
      <c r="A9" s="104"/>
      <c r="B9" s="136" t="s">
        <v>12</v>
      </c>
      <c r="C9" s="137">
        <v>0.3</v>
      </c>
      <c r="D9" s="138"/>
      <c r="E9" s="139">
        <f>IF(ISERROR(AVERAGE(E11:E12))," ",AVERAGE(E11:E12))</f>
        <v>3</v>
      </c>
      <c r="F9" s="139">
        <f t="shared" ref="F9:H9" si="0">IF(ISERROR(AVERAGE(F11:F12))," ",AVERAGE(F11:F12))</f>
        <v>3</v>
      </c>
      <c r="G9" s="139">
        <f t="shared" si="0"/>
        <v>3</v>
      </c>
      <c r="H9" s="139">
        <f t="shared" si="0"/>
        <v>3</v>
      </c>
      <c r="I9" s="133"/>
      <c r="J9" s="139"/>
      <c r="K9" s="140">
        <v>1</v>
      </c>
      <c r="L9" s="140">
        <v>2</v>
      </c>
      <c r="M9" s="141">
        <v>3</v>
      </c>
      <c r="N9" s="108"/>
      <c r="O9" s="108"/>
      <c r="P9" s="108"/>
    </row>
    <row r="10" spans="1:19" ht="24.75" customHeight="1" x14ac:dyDescent="0.25">
      <c r="A10" s="104"/>
      <c r="B10" s="142" t="s">
        <v>13</v>
      </c>
      <c r="C10" s="143"/>
      <c r="D10" s="144"/>
      <c r="E10" s="145"/>
      <c r="F10" s="145"/>
      <c r="G10" s="145"/>
      <c r="H10" s="145"/>
      <c r="I10" s="133"/>
      <c r="J10" s="145"/>
      <c r="K10" s="145"/>
      <c r="L10" s="145"/>
      <c r="M10" s="146"/>
      <c r="N10" s="108"/>
      <c r="O10" s="108"/>
      <c r="P10" s="108"/>
    </row>
    <row r="11" spans="1:19" ht="25.5" x14ac:dyDescent="0.25">
      <c r="A11" s="104"/>
      <c r="B11" s="136" t="s">
        <v>19</v>
      </c>
      <c r="C11" s="148"/>
      <c r="D11" s="149" t="s">
        <v>15</v>
      </c>
      <c r="E11" s="150">
        <v>3</v>
      </c>
      <c r="F11" s="150">
        <v>3</v>
      </c>
      <c r="G11" s="150">
        <v>3</v>
      </c>
      <c r="H11" s="150">
        <v>3</v>
      </c>
      <c r="I11" s="133"/>
      <c r="J11" s="151"/>
      <c r="K11" s="223" t="s">
        <v>76</v>
      </c>
      <c r="L11" s="223" t="s">
        <v>77</v>
      </c>
      <c r="M11" s="224" t="s">
        <v>18</v>
      </c>
      <c r="N11" s="108"/>
      <c r="O11" s="108"/>
      <c r="P11" s="108"/>
    </row>
    <row r="12" spans="1:19" x14ac:dyDescent="0.25">
      <c r="A12" s="104"/>
      <c r="B12" s="136" t="s">
        <v>20</v>
      </c>
      <c r="C12" s="148"/>
      <c r="D12" s="149" t="s">
        <v>15</v>
      </c>
      <c r="E12" s="150">
        <v>3</v>
      </c>
      <c r="F12" s="150">
        <v>3</v>
      </c>
      <c r="G12" s="150">
        <v>3</v>
      </c>
      <c r="H12" s="150">
        <v>3</v>
      </c>
      <c r="I12" s="133"/>
      <c r="J12" s="151"/>
      <c r="K12" s="223" t="s">
        <v>76</v>
      </c>
      <c r="L12" s="223" t="s">
        <v>77</v>
      </c>
      <c r="M12" s="224" t="s">
        <v>18</v>
      </c>
      <c r="N12" s="108"/>
      <c r="O12" s="108"/>
      <c r="P12" s="108"/>
    </row>
    <row r="13" spans="1:19" ht="24.75" customHeight="1" x14ac:dyDescent="0.25">
      <c r="A13" s="108"/>
      <c r="B13" s="154" t="s">
        <v>89</v>
      </c>
      <c r="C13" s="155" t="s">
        <v>3</v>
      </c>
      <c r="D13" s="156" t="s">
        <v>4</v>
      </c>
      <c r="E13" s="133" t="s">
        <v>5</v>
      </c>
      <c r="F13" s="133" t="s">
        <v>6</v>
      </c>
      <c r="G13" s="133" t="s">
        <v>7</v>
      </c>
      <c r="H13" s="133" t="s">
        <v>8</v>
      </c>
      <c r="I13" s="133"/>
      <c r="J13" s="133"/>
      <c r="K13" s="133" t="s">
        <v>9</v>
      </c>
      <c r="L13" s="133" t="s">
        <v>10</v>
      </c>
      <c r="M13" s="134" t="s">
        <v>11</v>
      </c>
      <c r="N13" s="108"/>
      <c r="O13" s="108"/>
      <c r="P13" s="108"/>
    </row>
    <row r="14" spans="1:19" ht="24.75" customHeight="1" x14ac:dyDescent="0.25">
      <c r="A14" s="108"/>
      <c r="B14" s="136" t="s">
        <v>90</v>
      </c>
      <c r="C14" s="137">
        <v>0.2</v>
      </c>
      <c r="D14" s="138"/>
      <c r="E14" s="139">
        <f>IF(ISERROR(AVERAGE(E16:E17))," ",AVERAGE(E16:E17))</f>
        <v>3</v>
      </c>
      <c r="F14" s="139">
        <f t="shared" ref="F14:H14" si="1">IF(ISERROR(AVERAGE(F16:F17))," ",AVERAGE(F16:F17))</f>
        <v>3</v>
      </c>
      <c r="G14" s="139">
        <f t="shared" si="1"/>
        <v>3</v>
      </c>
      <c r="H14" s="139">
        <f t="shared" si="1"/>
        <v>3</v>
      </c>
      <c r="I14" s="133"/>
      <c r="J14" s="139"/>
      <c r="K14" s="140">
        <v>1</v>
      </c>
      <c r="L14" s="140">
        <v>2</v>
      </c>
      <c r="M14" s="141">
        <v>3</v>
      </c>
      <c r="N14" s="108"/>
      <c r="O14" s="108"/>
      <c r="P14" s="108"/>
    </row>
    <row r="15" spans="1:19" ht="26.25" customHeight="1" x14ac:dyDescent="0.25">
      <c r="A15" s="108"/>
      <c r="B15" s="142" t="s">
        <v>13</v>
      </c>
      <c r="C15" s="143"/>
      <c r="D15" s="144"/>
      <c r="E15" s="145"/>
      <c r="F15" s="145"/>
      <c r="G15" s="145"/>
      <c r="H15" s="145"/>
      <c r="I15" s="133"/>
      <c r="J15" s="145"/>
      <c r="K15" s="145"/>
      <c r="L15" s="145"/>
      <c r="M15" s="146"/>
      <c r="N15" s="108"/>
      <c r="O15" s="108"/>
      <c r="P15" s="108"/>
    </row>
    <row r="16" spans="1:19" x14ac:dyDescent="0.25">
      <c r="A16" s="108"/>
      <c r="B16" s="136" t="s">
        <v>91</v>
      </c>
      <c r="C16" s="148"/>
      <c r="D16" s="149" t="s">
        <v>15</v>
      </c>
      <c r="E16" s="150">
        <v>3</v>
      </c>
      <c r="F16" s="150">
        <v>3</v>
      </c>
      <c r="G16" s="150">
        <v>3</v>
      </c>
      <c r="H16" s="150">
        <v>3</v>
      </c>
      <c r="I16" s="133"/>
      <c r="J16" s="151"/>
      <c r="K16" s="223" t="s">
        <v>16</v>
      </c>
      <c r="L16" s="223" t="s">
        <v>17</v>
      </c>
      <c r="M16" s="224" t="s">
        <v>18</v>
      </c>
      <c r="N16" s="108"/>
      <c r="O16" s="108"/>
      <c r="P16" s="108"/>
    </row>
    <row r="17" spans="1:24" x14ac:dyDescent="0.25">
      <c r="A17" s="108"/>
      <c r="B17" s="225" t="s">
        <v>92</v>
      </c>
      <c r="C17" s="148"/>
      <c r="D17" s="149" t="s">
        <v>15</v>
      </c>
      <c r="E17" s="226">
        <v>3</v>
      </c>
      <c r="F17" s="150">
        <v>3</v>
      </c>
      <c r="G17" s="150">
        <v>3</v>
      </c>
      <c r="H17" s="150">
        <v>3</v>
      </c>
      <c r="I17" s="133"/>
      <c r="J17" s="151"/>
      <c r="K17" s="223" t="s">
        <v>16</v>
      </c>
      <c r="L17" s="223" t="s">
        <v>17</v>
      </c>
      <c r="M17" s="224" t="s">
        <v>18</v>
      </c>
      <c r="N17" s="108"/>
      <c r="O17" s="108"/>
      <c r="P17" s="108"/>
    </row>
    <row r="18" spans="1:24" ht="24.75" customHeight="1" x14ac:dyDescent="0.25">
      <c r="A18" s="108"/>
      <c r="B18" s="154" t="s">
        <v>93</v>
      </c>
      <c r="C18" s="155" t="s">
        <v>3</v>
      </c>
      <c r="D18" s="156" t="s">
        <v>4</v>
      </c>
      <c r="E18" s="133" t="s">
        <v>5</v>
      </c>
      <c r="F18" s="133" t="s">
        <v>6</v>
      </c>
      <c r="G18" s="133" t="s">
        <v>7</v>
      </c>
      <c r="H18" s="133" t="s">
        <v>8</v>
      </c>
      <c r="I18" s="133"/>
      <c r="J18" s="133"/>
      <c r="K18" s="133" t="s">
        <v>9</v>
      </c>
      <c r="L18" s="133" t="s">
        <v>10</v>
      </c>
      <c r="M18" s="134" t="s">
        <v>11</v>
      </c>
      <c r="N18" s="108"/>
      <c r="O18" s="108"/>
      <c r="P18" s="108"/>
    </row>
    <row r="19" spans="1:24" ht="24.75" customHeight="1" x14ac:dyDescent="0.25">
      <c r="A19" s="108"/>
      <c r="B19" s="266" t="s">
        <v>94</v>
      </c>
      <c r="C19" s="267">
        <v>0.3</v>
      </c>
      <c r="D19" s="268"/>
      <c r="E19" s="269">
        <f>IF(ISERROR(AVERAGE(E21:E23))," ",AVERAGE(E21:E22))</f>
        <v>3</v>
      </c>
      <c r="F19" s="269">
        <f t="shared" ref="F19:H19" si="2">IF(ISERROR(AVERAGE(F21:F23))," ",AVERAGE(F21:F22))</f>
        <v>3</v>
      </c>
      <c r="G19" s="269">
        <f t="shared" si="2"/>
        <v>3</v>
      </c>
      <c r="H19" s="269">
        <f t="shared" si="2"/>
        <v>3</v>
      </c>
      <c r="I19" s="270"/>
      <c r="J19" s="269"/>
      <c r="K19" s="271">
        <v>1</v>
      </c>
      <c r="L19" s="271">
        <v>2</v>
      </c>
      <c r="M19" s="272">
        <v>3</v>
      </c>
      <c r="N19" s="108"/>
      <c r="O19" s="108"/>
      <c r="P19" s="108"/>
    </row>
    <row r="20" spans="1:24" ht="24.75" customHeight="1" x14ac:dyDescent="0.25">
      <c r="A20" s="108"/>
      <c r="B20" s="273" t="s">
        <v>13</v>
      </c>
      <c r="C20" s="274"/>
      <c r="D20" s="275"/>
      <c r="E20" s="269"/>
      <c r="F20" s="269"/>
      <c r="G20" s="269"/>
      <c r="H20" s="269"/>
      <c r="I20" s="270"/>
      <c r="J20" s="269"/>
      <c r="K20" s="269"/>
      <c r="L20" s="269"/>
      <c r="M20" s="276"/>
      <c r="N20" s="108"/>
      <c r="O20" s="108"/>
      <c r="P20" s="108"/>
    </row>
    <row r="21" spans="1:24" x14ac:dyDescent="0.25">
      <c r="A21" s="108"/>
      <c r="B21" s="266" t="s">
        <v>95</v>
      </c>
      <c r="C21" s="277"/>
      <c r="D21" s="278" t="s">
        <v>15</v>
      </c>
      <c r="E21" s="268">
        <v>3</v>
      </c>
      <c r="F21" s="268">
        <v>3</v>
      </c>
      <c r="G21" s="268">
        <v>3</v>
      </c>
      <c r="H21" s="268">
        <v>3</v>
      </c>
      <c r="I21" s="270"/>
      <c r="J21" s="279"/>
      <c r="K21" s="280" t="s">
        <v>16</v>
      </c>
      <c r="L21" s="280" t="s">
        <v>17</v>
      </c>
      <c r="M21" s="281" t="s">
        <v>18</v>
      </c>
      <c r="N21" s="108"/>
      <c r="O21" s="108"/>
      <c r="P21" s="108"/>
    </row>
    <row r="22" spans="1:24" x14ac:dyDescent="0.25">
      <c r="A22" s="108"/>
      <c r="B22" s="266" t="s">
        <v>96</v>
      </c>
      <c r="C22" s="277"/>
      <c r="D22" s="278" t="s">
        <v>15</v>
      </c>
      <c r="E22" s="268">
        <v>3</v>
      </c>
      <c r="F22" s="268">
        <v>3</v>
      </c>
      <c r="G22" s="268">
        <v>3</v>
      </c>
      <c r="H22" s="268">
        <v>3</v>
      </c>
      <c r="I22" s="270"/>
      <c r="J22" s="279"/>
      <c r="K22" s="280" t="s">
        <v>16</v>
      </c>
      <c r="L22" s="280" t="s">
        <v>17</v>
      </c>
      <c r="M22" s="281" t="s">
        <v>18</v>
      </c>
      <c r="N22" s="108"/>
      <c r="O22" s="108"/>
      <c r="P22" s="108"/>
    </row>
    <row r="23" spans="1:24" x14ac:dyDescent="0.25">
      <c r="A23" s="108"/>
      <c r="B23" s="266" t="s">
        <v>97</v>
      </c>
      <c r="C23" s="277"/>
      <c r="D23" s="278" t="s">
        <v>15</v>
      </c>
      <c r="E23" s="268">
        <v>3</v>
      </c>
      <c r="F23" s="268">
        <v>3</v>
      </c>
      <c r="G23" s="268">
        <v>3</v>
      </c>
      <c r="H23" s="268">
        <v>3</v>
      </c>
      <c r="I23" s="270"/>
      <c r="J23" s="279"/>
      <c r="K23" s="280" t="s">
        <v>16</v>
      </c>
      <c r="L23" s="280" t="s">
        <v>17</v>
      </c>
      <c r="M23" s="281" t="s">
        <v>18</v>
      </c>
      <c r="N23" s="108"/>
      <c r="O23" s="108"/>
      <c r="P23" s="108"/>
    </row>
    <row r="24" spans="1:24" ht="24.75" customHeight="1" x14ac:dyDescent="0.25">
      <c r="A24" s="104"/>
      <c r="B24" s="130" t="s">
        <v>39</v>
      </c>
      <c r="C24" s="131" t="s">
        <v>3</v>
      </c>
      <c r="D24" s="132" t="s">
        <v>4</v>
      </c>
      <c r="E24" s="133" t="s">
        <v>5</v>
      </c>
      <c r="F24" s="133" t="s">
        <v>6</v>
      </c>
      <c r="G24" s="133" t="s">
        <v>7</v>
      </c>
      <c r="H24" s="133" t="s">
        <v>8</v>
      </c>
      <c r="I24" s="133"/>
      <c r="J24" s="133"/>
      <c r="K24" s="133" t="s">
        <v>9</v>
      </c>
      <c r="L24" s="133" t="s">
        <v>10</v>
      </c>
      <c r="M24" s="134" t="s">
        <v>11</v>
      </c>
      <c r="N24" s="108"/>
      <c r="O24" s="108"/>
      <c r="P24" s="108"/>
    </row>
    <row r="25" spans="1:24" ht="24.75" customHeight="1" x14ac:dyDescent="0.25">
      <c r="A25" s="104"/>
      <c r="B25" s="167" t="s">
        <v>40</v>
      </c>
      <c r="C25" s="137">
        <v>0.2</v>
      </c>
      <c r="D25" s="138"/>
      <c r="E25" s="139">
        <f>IF(ISERROR(AVERAGE(E27:E29))," ",AVERAGE(E27:E29))</f>
        <v>3</v>
      </c>
      <c r="F25" s="139">
        <f t="shared" ref="F25:H25" si="3">IF(ISERROR(AVERAGE(F27:F29))," ",AVERAGE(F27:F29))</f>
        <v>3</v>
      </c>
      <c r="G25" s="139">
        <f t="shared" si="3"/>
        <v>3</v>
      </c>
      <c r="H25" s="139">
        <f t="shared" si="3"/>
        <v>3</v>
      </c>
      <c r="I25" s="133"/>
      <c r="J25" s="139"/>
      <c r="K25" s="140">
        <v>1</v>
      </c>
      <c r="L25" s="140">
        <v>2</v>
      </c>
      <c r="M25" s="141">
        <v>3</v>
      </c>
      <c r="N25" s="108"/>
      <c r="O25" s="108"/>
      <c r="P25" s="108"/>
    </row>
    <row r="26" spans="1:24" ht="24.75" customHeight="1" x14ac:dyDescent="0.25">
      <c r="A26" s="104"/>
      <c r="B26" s="168" t="s">
        <v>13</v>
      </c>
      <c r="C26" s="143"/>
      <c r="D26" s="144"/>
      <c r="E26" s="145"/>
      <c r="F26" s="145"/>
      <c r="G26" s="145"/>
      <c r="H26" s="145"/>
      <c r="I26" s="133"/>
      <c r="J26" s="145"/>
      <c r="K26" s="145"/>
      <c r="L26" s="145"/>
      <c r="M26" s="146"/>
      <c r="N26" s="108"/>
      <c r="O26" s="108"/>
      <c r="P26" s="108"/>
    </row>
    <row r="27" spans="1:24" ht="24.75" customHeight="1" x14ac:dyDescent="0.25">
      <c r="A27" s="104"/>
      <c r="B27" s="227" t="s">
        <v>40</v>
      </c>
      <c r="C27" s="108"/>
      <c r="D27" s="170" t="s">
        <v>15</v>
      </c>
      <c r="E27" s="150">
        <v>3</v>
      </c>
      <c r="F27" s="150">
        <v>3</v>
      </c>
      <c r="G27" s="150">
        <v>3</v>
      </c>
      <c r="H27" s="150">
        <v>3</v>
      </c>
      <c r="I27" s="132"/>
      <c r="J27" s="151"/>
      <c r="K27" s="228" t="s">
        <v>98</v>
      </c>
      <c r="L27" s="228" t="s">
        <v>67</v>
      </c>
      <c r="M27" s="229" t="s">
        <v>37</v>
      </c>
      <c r="N27" s="108"/>
      <c r="O27" s="108"/>
    </row>
    <row r="28" spans="1:24" ht="24.75" customHeight="1" x14ac:dyDescent="0.25">
      <c r="A28" s="104"/>
      <c r="B28" s="227" t="s">
        <v>99</v>
      </c>
      <c r="C28" s="148"/>
      <c r="D28" s="170" t="s">
        <v>41</v>
      </c>
      <c r="E28" s="150">
        <v>3</v>
      </c>
      <c r="F28" s="150">
        <v>3</v>
      </c>
      <c r="G28" s="150">
        <v>3</v>
      </c>
      <c r="H28" s="150">
        <v>3</v>
      </c>
      <c r="I28" s="133"/>
      <c r="J28" s="151"/>
      <c r="K28" s="228" t="s">
        <v>61</v>
      </c>
      <c r="L28" s="228" t="s">
        <v>60</v>
      </c>
      <c r="M28" s="229" t="s">
        <v>59</v>
      </c>
      <c r="N28" s="108"/>
      <c r="O28" s="108"/>
      <c r="P28" s="108"/>
    </row>
    <row r="29" spans="1:24" ht="24.75" customHeight="1" x14ac:dyDescent="0.25">
      <c r="A29" s="173"/>
      <c r="B29" s="174" t="s">
        <v>44</v>
      </c>
      <c r="C29" s="175"/>
      <c r="D29" s="176" t="s">
        <v>41</v>
      </c>
      <c r="E29" s="230">
        <v>3</v>
      </c>
      <c r="F29" s="230">
        <v>3</v>
      </c>
      <c r="G29" s="230">
        <v>3</v>
      </c>
      <c r="H29" s="230">
        <v>3</v>
      </c>
      <c r="I29" s="177"/>
      <c r="J29" s="178"/>
      <c r="K29" s="228" t="s">
        <v>45</v>
      </c>
      <c r="L29" s="228" t="s">
        <v>46</v>
      </c>
      <c r="M29" s="229" t="s">
        <v>47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</row>
    <row r="30" spans="1:24" ht="24.75" customHeight="1" thickBot="1" x14ac:dyDescent="0.3">
      <c r="A30" s="104"/>
      <c r="B30" s="180" t="s">
        <v>48</v>
      </c>
      <c r="C30" s="181">
        <f>SUM(C9:C28)</f>
        <v>1</v>
      </c>
      <c r="D30" s="182"/>
      <c r="E30" s="183">
        <f t="shared" ref="E30" si="4">(E9*$C$9)+(E14*$C$14)+(E25*$C$25)+(E19*$C$19)</f>
        <v>3</v>
      </c>
      <c r="F30" s="183">
        <f>(F9*$C$9)+(F14*$C$14)+(F25*$C$25)+(F19*$C$19)</f>
        <v>3</v>
      </c>
      <c r="G30" s="183">
        <f t="shared" ref="G30:H30" si="5">(G9*$C$9)+(G14*$C$14)+(G25*$C$25)+(G19*$C$19)</f>
        <v>3</v>
      </c>
      <c r="H30" s="183">
        <f t="shared" si="5"/>
        <v>3</v>
      </c>
      <c r="I30" s="184">
        <f>AVERAGE(E30:H30)/3*100</f>
        <v>100</v>
      </c>
      <c r="J30" s="185"/>
      <c r="K30" s="186"/>
      <c r="L30" s="186"/>
      <c r="M30" s="187"/>
      <c r="N30" s="108"/>
      <c r="O30" s="108"/>
      <c r="P30" s="108"/>
    </row>
    <row r="31" spans="1:24" ht="15.75" customHeight="1" x14ac:dyDescent="0.25"/>
    <row r="32" spans="1:24" ht="15.75" customHeight="1" x14ac:dyDescent="0.25">
      <c r="B32" s="109" t="s">
        <v>86</v>
      </c>
    </row>
    <row r="33" spans="4:12" ht="15.75" customHeight="1" x14ac:dyDescent="0.25">
      <c r="D33" s="190" t="s">
        <v>49</v>
      </c>
      <c r="E33" s="191"/>
      <c r="F33" s="192"/>
      <c r="G33" s="190" t="s">
        <v>50</v>
      </c>
      <c r="H33" s="191"/>
      <c r="I33" s="191"/>
      <c r="J33" s="192"/>
      <c r="K33" s="193" t="s">
        <v>51</v>
      </c>
      <c r="L33" s="194"/>
    </row>
    <row r="34" spans="4:12" ht="15.75" customHeight="1" x14ac:dyDescent="0.25">
      <c r="D34" s="195" t="s">
        <v>52</v>
      </c>
      <c r="E34" s="195"/>
      <c r="F34" s="195"/>
      <c r="G34" s="195" t="s">
        <v>53</v>
      </c>
      <c r="H34" s="195"/>
      <c r="I34" s="195"/>
      <c r="J34" s="195"/>
      <c r="K34" s="196" t="s">
        <v>54</v>
      </c>
      <c r="L34" s="196"/>
    </row>
    <row r="35" spans="4:12" ht="15.75" customHeight="1" x14ac:dyDescent="0.25">
      <c r="D35" s="197"/>
      <c r="E35" s="198"/>
      <c r="F35" s="199"/>
      <c r="G35" s="197"/>
      <c r="H35" s="198"/>
      <c r="I35" s="198"/>
      <c r="J35" s="199"/>
      <c r="K35" s="200"/>
      <c r="L35" s="201"/>
    </row>
    <row r="36" spans="4:12" ht="15.75" customHeight="1" x14ac:dyDescent="0.25">
      <c r="D36" s="202"/>
      <c r="E36" s="203"/>
      <c r="F36" s="204"/>
      <c r="G36" s="202"/>
      <c r="H36" s="203"/>
      <c r="I36" s="203"/>
      <c r="J36" s="204"/>
      <c r="K36" s="205"/>
      <c r="L36" s="206"/>
    </row>
    <row r="37" spans="4:12" ht="15.75" customHeight="1" x14ac:dyDescent="0.25">
      <c r="D37" s="202"/>
      <c r="E37" s="203"/>
      <c r="F37" s="204"/>
      <c r="G37" s="202"/>
      <c r="H37" s="203"/>
      <c r="I37" s="203"/>
      <c r="J37" s="204"/>
      <c r="K37" s="205"/>
      <c r="L37" s="206"/>
    </row>
    <row r="38" spans="4:12" ht="15.75" customHeight="1" x14ac:dyDescent="0.25">
      <c r="D38" s="207"/>
      <c r="E38" s="208"/>
      <c r="F38" s="209"/>
      <c r="G38" s="207"/>
      <c r="H38" s="208"/>
      <c r="I38" s="208"/>
      <c r="J38" s="209"/>
      <c r="K38" s="210"/>
      <c r="L38" s="211"/>
    </row>
    <row r="39" spans="4:12" ht="15.75" customHeight="1" x14ac:dyDescent="0.25">
      <c r="D39" s="190" t="s">
        <v>55</v>
      </c>
      <c r="E39" s="191"/>
      <c r="F39" s="192"/>
      <c r="G39" s="190" t="s">
        <v>56</v>
      </c>
      <c r="H39" s="191"/>
      <c r="I39" s="191"/>
      <c r="J39" s="192"/>
      <c r="K39" s="193" t="s">
        <v>57</v>
      </c>
      <c r="L39" s="194"/>
    </row>
    <row r="40" spans="4:12" ht="15.75" customHeight="1" x14ac:dyDescent="0.25"/>
    <row r="41" spans="4:12" ht="15.75" customHeight="1" x14ac:dyDescent="0.25"/>
    <row r="42" spans="4:12" ht="15.75" customHeight="1" x14ac:dyDescent="0.25"/>
    <row r="43" spans="4:12" ht="15.75" customHeight="1" x14ac:dyDescent="0.25"/>
    <row r="44" spans="4:12" ht="15.75" customHeight="1" x14ac:dyDescent="0.25"/>
    <row r="45" spans="4:12" ht="15.75" customHeight="1" x14ac:dyDescent="0.25"/>
    <row r="46" spans="4:12" ht="15.75" customHeight="1" x14ac:dyDescent="0.25"/>
    <row r="47" spans="4:12" ht="15.75" customHeight="1" x14ac:dyDescent="0.25"/>
    <row r="48" spans="4:12" ht="15.75" customHeight="1" x14ac:dyDescent="0.25"/>
    <row r="49" s="109" customFormat="1" ht="15.75" customHeight="1" x14ac:dyDescent="0.25"/>
    <row r="50" s="109" customFormat="1" ht="15.75" customHeight="1" x14ac:dyDescent="0.25"/>
    <row r="51" s="109" customFormat="1" ht="15.75" customHeight="1" x14ac:dyDescent="0.25"/>
    <row r="52" s="109" customFormat="1" ht="15.75" customHeight="1" x14ac:dyDescent="0.25"/>
    <row r="53" s="109" customFormat="1" ht="15.75" customHeight="1" x14ac:dyDescent="0.25"/>
    <row r="54" s="109" customFormat="1" ht="15.75" customHeight="1" x14ac:dyDescent="0.25"/>
    <row r="55" s="109" customFormat="1" ht="15.75" customHeight="1" x14ac:dyDescent="0.25"/>
    <row r="56" s="109" customFormat="1" ht="15.75" customHeight="1" x14ac:dyDescent="0.25"/>
    <row r="57" s="109" customFormat="1" ht="15.75" customHeight="1" x14ac:dyDescent="0.25"/>
    <row r="58" s="109" customFormat="1" ht="15.75" customHeight="1" x14ac:dyDescent="0.25"/>
    <row r="59" s="109" customFormat="1" ht="15.75" customHeight="1" x14ac:dyDescent="0.25"/>
    <row r="60" s="109" customFormat="1" ht="15.75" customHeight="1" x14ac:dyDescent="0.25"/>
    <row r="61" s="109" customFormat="1" ht="15.75" customHeight="1" x14ac:dyDescent="0.25"/>
    <row r="62" s="109" customFormat="1" ht="15.75" customHeight="1" x14ac:dyDescent="0.25"/>
    <row r="63" s="109" customFormat="1" ht="15.75" customHeight="1" x14ac:dyDescent="0.25"/>
    <row r="64" s="109" customFormat="1" ht="15.75" customHeight="1" x14ac:dyDescent="0.25"/>
    <row r="65" s="109" customFormat="1" ht="15.75" customHeight="1" x14ac:dyDescent="0.25"/>
    <row r="66" s="109" customFormat="1" ht="15.75" customHeight="1" x14ac:dyDescent="0.25"/>
    <row r="67" s="109" customFormat="1" ht="15.75" customHeight="1" x14ac:dyDescent="0.25"/>
    <row r="68" s="109" customFormat="1" ht="15.75" customHeight="1" x14ac:dyDescent="0.25"/>
    <row r="69" s="109" customFormat="1" ht="15.75" customHeight="1" x14ac:dyDescent="0.25"/>
    <row r="70" s="109" customFormat="1" ht="15.75" customHeight="1" x14ac:dyDescent="0.25"/>
    <row r="71" s="109" customFormat="1" ht="15.75" customHeight="1" x14ac:dyDescent="0.25"/>
    <row r="72" s="109" customFormat="1" ht="15.75" customHeight="1" x14ac:dyDescent="0.25"/>
    <row r="73" s="109" customFormat="1" ht="15.75" customHeight="1" x14ac:dyDescent="0.25"/>
    <row r="74" s="109" customFormat="1" ht="15.75" customHeight="1" x14ac:dyDescent="0.25"/>
    <row r="75" s="109" customFormat="1" ht="15.75" customHeight="1" x14ac:dyDescent="0.25"/>
    <row r="76" s="109" customFormat="1" ht="15.75" customHeight="1" x14ac:dyDescent="0.25"/>
    <row r="77" s="109" customFormat="1" ht="15.75" customHeight="1" x14ac:dyDescent="0.25"/>
    <row r="78" s="109" customFormat="1" ht="15.75" customHeight="1" x14ac:dyDescent="0.25"/>
    <row r="79" s="109" customFormat="1" ht="15.75" customHeight="1" x14ac:dyDescent="0.25"/>
    <row r="80" s="109" customFormat="1" ht="15.75" customHeight="1" x14ac:dyDescent="0.25"/>
    <row r="81" s="109" customFormat="1" ht="15.75" customHeight="1" x14ac:dyDescent="0.25"/>
    <row r="82" s="109" customFormat="1" ht="15.75" customHeight="1" x14ac:dyDescent="0.25"/>
    <row r="83" s="109" customFormat="1" ht="15.75" customHeight="1" x14ac:dyDescent="0.25"/>
    <row r="84" s="109" customFormat="1" ht="15.75" customHeight="1" x14ac:dyDescent="0.25"/>
    <row r="85" s="109" customFormat="1" ht="15.75" customHeight="1" x14ac:dyDescent="0.25"/>
    <row r="86" s="109" customFormat="1" ht="15.75" customHeight="1" x14ac:dyDescent="0.25"/>
    <row r="87" s="109" customFormat="1" ht="15.75" customHeight="1" x14ac:dyDescent="0.25"/>
    <row r="88" s="109" customFormat="1" ht="15.75" customHeight="1" x14ac:dyDescent="0.25"/>
    <row r="89" s="109" customFormat="1" ht="15.75" customHeight="1" x14ac:dyDescent="0.25"/>
    <row r="90" s="109" customFormat="1" ht="15.75" customHeight="1" x14ac:dyDescent="0.25"/>
    <row r="91" s="109" customFormat="1" ht="15.75" customHeight="1" x14ac:dyDescent="0.25"/>
    <row r="92" s="109" customFormat="1" ht="15.75" customHeight="1" x14ac:dyDescent="0.25"/>
    <row r="93" s="109" customFormat="1" ht="15.75" customHeight="1" x14ac:dyDescent="0.25"/>
    <row r="94" s="109" customFormat="1" ht="15.75" customHeight="1" x14ac:dyDescent="0.25"/>
    <row r="95" s="109" customFormat="1" ht="15.75" customHeight="1" x14ac:dyDescent="0.25"/>
    <row r="96" s="109" customFormat="1" ht="15.75" customHeight="1" x14ac:dyDescent="0.25"/>
    <row r="97" s="109" customFormat="1" ht="15.75" customHeight="1" x14ac:dyDescent="0.25"/>
    <row r="98" s="109" customFormat="1" ht="15.75" customHeight="1" x14ac:dyDescent="0.25"/>
    <row r="99" s="109" customFormat="1" ht="15.75" customHeight="1" x14ac:dyDescent="0.25"/>
    <row r="100" s="109" customFormat="1" ht="15.75" customHeight="1" x14ac:dyDescent="0.25"/>
    <row r="101" s="109" customFormat="1" ht="15.75" customHeight="1" x14ac:dyDescent="0.25"/>
    <row r="102" s="109" customFormat="1" ht="15.75" customHeight="1" x14ac:dyDescent="0.25"/>
    <row r="103" s="109" customFormat="1" ht="15.75" customHeight="1" x14ac:dyDescent="0.25"/>
    <row r="104" s="109" customFormat="1" ht="15.75" customHeight="1" x14ac:dyDescent="0.25"/>
    <row r="105" s="109" customFormat="1" ht="15.75" customHeight="1" x14ac:dyDescent="0.25"/>
    <row r="106" s="109" customFormat="1" ht="15.75" customHeight="1" x14ac:dyDescent="0.25"/>
    <row r="107" s="109" customFormat="1" ht="15.75" customHeight="1" x14ac:dyDescent="0.25"/>
    <row r="108" s="109" customFormat="1" ht="15.75" customHeight="1" x14ac:dyDescent="0.25"/>
    <row r="109" s="109" customFormat="1" ht="15.75" customHeight="1" x14ac:dyDescent="0.25"/>
    <row r="110" s="109" customFormat="1" ht="15.75" customHeight="1" x14ac:dyDescent="0.25"/>
    <row r="111" s="109" customFormat="1" ht="15.75" customHeight="1" x14ac:dyDescent="0.25"/>
    <row r="112" s="109" customFormat="1" ht="15.75" customHeight="1" x14ac:dyDescent="0.25"/>
    <row r="113" s="109" customFormat="1" ht="15.75" customHeight="1" x14ac:dyDescent="0.25"/>
    <row r="114" s="109" customFormat="1" ht="15.75" customHeight="1" x14ac:dyDescent="0.25"/>
    <row r="115" s="109" customFormat="1" ht="15.75" customHeight="1" x14ac:dyDescent="0.25"/>
    <row r="116" s="109" customFormat="1" ht="15.75" customHeight="1" x14ac:dyDescent="0.25"/>
    <row r="117" s="109" customFormat="1" ht="15.75" customHeight="1" x14ac:dyDescent="0.25"/>
    <row r="118" s="109" customFormat="1" ht="15.75" customHeight="1" x14ac:dyDescent="0.25"/>
    <row r="119" s="109" customFormat="1" ht="15.75" customHeight="1" x14ac:dyDescent="0.25"/>
    <row r="120" s="109" customFormat="1" ht="15.75" customHeight="1" x14ac:dyDescent="0.25"/>
    <row r="121" s="109" customFormat="1" ht="15.75" customHeight="1" x14ac:dyDescent="0.25"/>
    <row r="122" s="109" customFormat="1" ht="15.75" customHeight="1" x14ac:dyDescent="0.25"/>
    <row r="123" s="109" customFormat="1" ht="15.75" customHeight="1" x14ac:dyDescent="0.25"/>
    <row r="124" s="109" customFormat="1" ht="15.75" customHeight="1" x14ac:dyDescent="0.25"/>
    <row r="125" s="109" customFormat="1" ht="15.75" customHeight="1" x14ac:dyDescent="0.25"/>
    <row r="126" s="109" customFormat="1" ht="15.75" customHeight="1" x14ac:dyDescent="0.25"/>
    <row r="127" s="109" customFormat="1" ht="15.75" customHeight="1" x14ac:dyDescent="0.25"/>
    <row r="128" s="109" customFormat="1" ht="15.75" customHeight="1" x14ac:dyDescent="0.25"/>
    <row r="129" s="109" customFormat="1" ht="15.75" customHeight="1" x14ac:dyDescent="0.25"/>
    <row r="130" s="109" customFormat="1" ht="15.75" customHeight="1" x14ac:dyDescent="0.25"/>
    <row r="131" s="109" customFormat="1" ht="15.75" customHeight="1" x14ac:dyDescent="0.25"/>
    <row r="132" s="109" customFormat="1" ht="15.75" customHeight="1" x14ac:dyDescent="0.25"/>
    <row r="133" s="109" customFormat="1" ht="15.75" customHeight="1" x14ac:dyDescent="0.25"/>
    <row r="134" s="109" customFormat="1" ht="15.75" customHeight="1" x14ac:dyDescent="0.25"/>
    <row r="135" s="109" customFormat="1" ht="15.75" customHeight="1" x14ac:dyDescent="0.25"/>
    <row r="136" s="109" customFormat="1" ht="15.75" customHeight="1" x14ac:dyDescent="0.25"/>
    <row r="137" s="109" customFormat="1" ht="15.75" customHeight="1" x14ac:dyDescent="0.25"/>
    <row r="138" s="109" customFormat="1" ht="15.75" customHeight="1" x14ac:dyDescent="0.25"/>
    <row r="139" s="109" customFormat="1" ht="15.75" customHeight="1" x14ac:dyDescent="0.25"/>
    <row r="140" s="109" customFormat="1" ht="15.75" customHeight="1" x14ac:dyDescent="0.25"/>
    <row r="141" s="109" customFormat="1" ht="15.75" customHeight="1" x14ac:dyDescent="0.25"/>
    <row r="142" s="109" customFormat="1" ht="15.75" customHeight="1" x14ac:dyDescent="0.25"/>
    <row r="143" s="109" customFormat="1" ht="15.75" customHeight="1" x14ac:dyDescent="0.25"/>
    <row r="144" s="109" customFormat="1" ht="15.75" customHeight="1" x14ac:dyDescent="0.25"/>
    <row r="145" s="109" customFormat="1" ht="15.75" customHeight="1" x14ac:dyDescent="0.25"/>
    <row r="146" s="109" customFormat="1" ht="15.75" customHeight="1" x14ac:dyDescent="0.25"/>
    <row r="147" s="109" customFormat="1" ht="15.75" customHeight="1" x14ac:dyDescent="0.25"/>
    <row r="148" s="109" customFormat="1" ht="15.75" customHeight="1" x14ac:dyDescent="0.25"/>
    <row r="149" s="109" customFormat="1" ht="15.75" customHeight="1" x14ac:dyDescent="0.25"/>
    <row r="150" s="109" customFormat="1" ht="15.75" customHeight="1" x14ac:dyDescent="0.25"/>
    <row r="151" s="109" customFormat="1" ht="15.75" customHeight="1" x14ac:dyDescent="0.25"/>
    <row r="152" s="109" customFormat="1" ht="15.75" customHeight="1" x14ac:dyDescent="0.25"/>
    <row r="153" s="109" customFormat="1" ht="15.75" customHeight="1" x14ac:dyDescent="0.25"/>
    <row r="154" s="109" customFormat="1" ht="15.75" customHeight="1" x14ac:dyDescent="0.25"/>
    <row r="155" s="109" customFormat="1" ht="15.75" customHeight="1" x14ac:dyDescent="0.25"/>
    <row r="156" s="109" customFormat="1" ht="15.75" customHeight="1" x14ac:dyDescent="0.25"/>
    <row r="157" s="109" customFormat="1" ht="15.75" customHeight="1" x14ac:dyDescent="0.25"/>
    <row r="158" s="109" customFormat="1" ht="15.75" customHeight="1" x14ac:dyDescent="0.25"/>
    <row r="159" s="109" customFormat="1" ht="15.75" customHeight="1" x14ac:dyDescent="0.25"/>
    <row r="160" s="109" customFormat="1" ht="15.75" customHeight="1" x14ac:dyDescent="0.25"/>
    <row r="161" s="109" customFormat="1" ht="15.75" customHeight="1" x14ac:dyDescent="0.25"/>
    <row r="162" s="109" customFormat="1" ht="15.75" customHeight="1" x14ac:dyDescent="0.25"/>
    <row r="163" s="109" customFormat="1" ht="15.75" customHeight="1" x14ac:dyDescent="0.25"/>
    <row r="164" s="109" customFormat="1" ht="15.75" customHeight="1" x14ac:dyDescent="0.25"/>
    <row r="165" s="109" customFormat="1" ht="15.75" customHeight="1" x14ac:dyDescent="0.25"/>
    <row r="166" s="109" customFormat="1" ht="15.75" customHeight="1" x14ac:dyDescent="0.25"/>
    <row r="167" s="109" customFormat="1" ht="15.75" customHeight="1" x14ac:dyDescent="0.25"/>
    <row r="168" s="109" customFormat="1" ht="15.75" customHeight="1" x14ac:dyDescent="0.25"/>
    <row r="169" s="109" customFormat="1" ht="15.75" customHeight="1" x14ac:dyDescent="0.25"/>
    <row r="170" s="109" customFormat="1" ht="15.75" customHeight="1" x14ac:dyDescent="0.25"/>
    <row r="171" s="109" customFormat="1" ht="15.75" customHeight="1" x14ac:dyDescent="0.25"/>
    <row r="172" s="109" customFormat="1" ht="15.75" customHeight="1" x14ac:dyDescent="0.25"/>
    <row r="173" s="109" customFormat="1" ht="15.75" customHeight="1" x14ac:dyDescent="0.25"/>
    <row r="174" s="109" customFormat="1" ht="15.75" customHeight="1" x14ac:dyDescent="0.25"/>
    <row r="175" s="109" customFormat="1" ht="15.75" customHeight="1" x14ac:dyDescent="0.25"/>
    <row r="176" s="109" customFormat="1" ht="15.75" customHeight="1" x14ac:dyDescent="0.25"/>
    <row r="177" s="109" customFormat="1" ht="15.75" customHeight="1" x14ac:dyDescent="0.25"/>
    <row r="178" s="109" customFormat="1" ht="15.75" customHeight="1" x14ac:dyDescent="0.25"/>
    <row r="179" s="109" customFormat="1" ht="15.75" customHeight="1" x14ac:dyDescent="0.25"/>
    <row r="180" s="109" customFormat="1" ht="15.75" customHeight="1" x14ac:dyDescent="0.25"/>
    <row r="181" s="109" customFormat="1" ht="15.75" customHeight="1" x14ac:dyDescent="0.25"/>
    <row r="182" s="109" customFormat="1" ht="15.75" customHeight="1" x14ac:dyDescent="0.25"/>
    <row r="183" s="109" customFormat="1" ht="15.75" customHeight="1" x14ac:dyDescent="0.25"/>
    <row r="184" s="109" customFormat="1" ht="15.75" customHeight="1" x14ac:dyDescent="0.25"/>
    <row r="185" s="109" customFormat="1" ht="15.75" customHeight="1" x14ac:dyDescent="0.25"/>
    <row r="186" s="109" customFormat="1" ht="15.75" customHeight="1" x14ac:dyDescent="0.25"/>
    <row r="187" s="109" customFormat="1" ht="15.75" customHeight="1" x14ac:dyDescent="0.25"/>
    <row r="188" s="109" customFormat="1" ht="15.75" customHeight="1" x14ac:dyDescent="0.25"/>
    <row r="189" s="109" customFormat="1" ht="15.75" customHeight="1" x14ac:dyDescent="0.25"/>
    <row r="190" s="109" customFormat="1" ht="15.75" customHeight="1" x14ac:dyDescent="0.25"/>
    <row r="191" s="109" customFormat="1" ht="15.75" customHeight="1" x14ac:dyDescent="0.25"/>
    <row r="192" s="109" customFormat="1" ht="15.75" customHeight="1" x14ac:dyDescent="0.25"/>
    <row r="193" s="109" customFormat="1" ht="15.75" customHeight="1" x14ac:dyDescent="0.25"/>
    <row r="194" s="109" customFormat="1" ht="15.75" customHeight="1" x14ac:dyDescent="0.25"/>
    <row r="195" s="109" customFormat="1" ht="15.75" customHeight="1" x14ac:dyDescent="0.25"/>
    <row r="196" s="109" customFormat="1" ht="15.75" customHeight="1" x14ac:dyDescent="0.25"/>
    <row r="197" s="109" customFormat="1" ht="15.75" customHeight="1" x14ac:dyDescent="0.25"/>
    <row r="198" s="109" customFormat="1" ht="15.75" customHeight="1" x14ac:dyDescent="0.25"/>
    <row r="199" s="109" customFormat="1" ht="15.75" customHeight="1" x14ac:dyDescent="0.25"/>
    <row r="200" s="109" customFormat="1" ht="15.75" customHeight="1" x14ac:dyDescent="0.25"/>
    <row r="201" s="109" customFormat="1" ht="15.75" customHeight="1" x14ac:dyDescent="0.25"/>
    <row r="202" s="109" customFormat="1" ht="15.75" customHeight="1" x14ac:dyDescent="0.25"/>
    <row r="203" s="109" customFormat="1" ht="15.75" customHeight="1" x14ac:dyDescent="0.25"/>
    <row r="204" s="109" customFormat="1" ht="15.75" customHeight="1" x14ac:dyDescent="0.25"/>
    <row r="205" s="109" customFormat="1" ht="15.75" customHeight="1" x14ac:dyDescent="0.25"/>
    <row r="206" s="109" customFormat="1" ht="15.75" customHeight="1" x14ac:dyDescent="0.25"/>
    <row r="207" s="109" customFormat="1" ht="15.75" customHeight="1" x14ac:dyDescent="0.25"/>
    <row r="208" s="109" customFormat="1" ht="15.75" customHeight="1" x14ac:dyDescent="0.25"/>
    <row r="209" s="109" customFormat="1" ht="15.75" customHeight="1" x14ac:dyDescent="0.25"/>
    <row r="210" s="109" customFormat="1" ht="15.75" customHeight="1" x14ac:dyDescent="0.25"/>
    <row r="211" s="109" customFormat="1" ht="15.75" customHeight="1" x14ac:dyDescent="0.25"/>
    <row r="212" s="109" customFormat="1" ht="15.75" customHeight="1" x14ac:dyDescent="0.25"/>
    <row r="213" s="109" customFormat="1" ht="15.75" customHeight="1" x14ac:dyDescent="0.25"/>
    <row r="214" s="109" customFormat="1" ht="15.75" customHeight="1" x14ac:dyDescent="0.25"/>
    <row r="215" s="109" customFormat="1" ht="15.75" customHeight="1" x14ac:dyDescent="0.25"/>
    <row r="216" s="109" customFormat="1" ht="15.75" customHeight="1" x14ac:dyDescent="0.25"/>
    <row r="217" s="109" customFormat="1" ht="15.75" customHeight="1" x14ac:dyDescent="0.25"/>
    <row r="218" s="109" customFormat="1" ht="15.75" customHeight="1" x14ac:dyDescent="0.25"/>
    <row r="219" s="109" customFormat="1" ht="15.75" customHeight="1" x14ac:dyDescent="0.25"/>
    <row r="220" s="109" customFormat="1" ht="15.75" customHeight="1" x14ac:dyDescent="0.25"/>
    <row r="221" s="109" customFormat="1" ht="15.75" customHeight="1" x14ac:dyDescent="0.25"/>
    <row r="222" s="109" customFormat="1" ht="15.75" customHeight="1" x14ac:dyDescent="0.25"/>
    <row r="223" s="109" customFormat="1" ht="15.75" customHeight="1" x14ac:dyDescent="0.25"/>
    <row r="224" s="109" customFormat="1" ht="15.75" customHeight="1" x14ac:dyDescent="0.25"/>
    <row r="225" s="109" customFormat="1" ht="15.75" customHeight="1" x14ac:dyDescent="0.25"/>
    <row r="226" s="109" customFormat="1" ht="15.75" customHeight="1" x14ac:dyDescent="0.25"/>
    <row r="227" s="109" customFormat="1" ht="15.75" customHeight="1" x14ac:dyDescent="0.25"/>
    <row r="228" s="109" customFormat="1" ht="15.75" customHeight="1" x14ac:dyDescent="0.25"/>
    <row r="229" s="109" customFormat="1" ht="15.75" customHeight="1" x14ac:dyDescent="0.25"/>
    <row r="230" s="109" customFormat="1" ht="15.75" customHeight="1" x14ac:dyDescent="0.25"/>
    <row r="231" s="109" customFormat="1" ht="15.75" customHeight="1" x14ac:dyDescent="0.25"/>
    <row r="232" s="109" customFormat="1" ht="15.75" customHeight="1" x14ac:dyDescent="0.25"/>
    <row r="233" s="109" customFormat="1" ht="15.75" customHeight="1" x14ac:dyDescent="0.25"/>
    <row r="234" s="109" customFormat="1" ht="15.75" customHeight="1" x14ac:dyDescent="0.25"/>
    <row r="235" s="109" customFormat="1" ht="15.75" customHeight="1" x14ac:dyDescent="0.25"/>
    <row r="236" s="109" customFormat="1" ht="15.75" customHeight="1" x14ac:dyDescent="0.25"/>
    <row r="237" s="109" customFormat="1" ht="15.75" customHeight="1" x14ac:dyDescent="0.25"/>
    <row r="238" s="109" customFormat="1" ht="15.75" customHeight="1" x14ac:dyDescent="0.25"/>
    <row r="239" s="109" customFormat="1" ht="15.75" customHeight="1" x14ac:dyDescent="0.25"/>
    <row r="240" s="109" customFormat="1" ht="15.75" customHeight="1" x14ac:dyDescent="0.25"/>
    <row r="241" s="109" customFormat="1" ht="15.75" customHeight="1" x14ac:dyDescent="0.25"/>
    <row r="242" s="109" customFormat="1" ht="15.75" customHeight="1" x14ac:dyDescent="0.25"/>
    <row r="243" s="109" customFormat="1" ht="15.75" customHeight="1" x14ac:dyDescent="0.25"/>
    <row r="244" s="109" customFormat="1" ht="15.75" customHeight="1" x14ac:dyDescent="0.25"/>
    <row r="245" s="109" customFormat="1" ht="15.75" customHeight="1" x14ac:dyDescent="0.25"/>
    <row r="246" s="109" customFormat="1" ht="15.75" customHeight="1" x14ac:dyDescent="0.25"/>
  </sheetData>
  <mergeCells count="14">
    <mergeCell ref="D35:F38"/>
    <mergeCell ref="G35:J38"/>
    <mergeCell ref="K35:L38"/>
    <mergeCell ref="D39:F39"/>
    <mergeCell ref="G39:J39"/>
    <mergeCell ref="K39:L39"/>
    <mergeCell ref="B2:M2"/>
    <mergeCell ref="B6:M6"/>
    <mergeCell ref="D33:F33"/>
    <mergeCell ref="G33:J33"/>
    <mergeCell ref="K33:L33"/>
    <mergeCell ref="D34:F34"/>
    <mergeCell ref="G34:J34"/>
    <mergeCell ref="K34:L34"/>
  </mergeCells>
  <pageMargins left="0.7" right="0.7" top="0.75" bottom="0.75" header="0.3" footer="0.3"/>
  <pageSetup orientation="landscape" r:id="rId1"/>
  <colBreaks count="1" manualBreakCount="1">
    <brk id="16" max="38" man="1"/>
  </col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405F-0A10-44C2-885A-D95D682DCD2F}">
  <sheetPr>
    <pageSetUpPr fitToPage="1"/>
  </sheetPr>
  <dimension ref="A1:X35"/>
  <sheetViews>
    <sheetView zoomScale="85" zoomScaleNormal="85" workbookViewId="0">
      <selection activeCell="B38" sqref="B38"/>
    </sheetView>
  </sheetViews>
  <sheetFormatPr defaultColWidth="8.7109375" defaultRowHeight="15" x14ac:dyDescent="0.25"/>
  <cols>
    <col min="1" max="1" width="3.28515625" customWidth="1"/>
    <col min="2" max="2" width="77.5703125" bestFit="1" customWidth="1"/>
    <col min="3" max="3" width="5.85546875" bestFit="1" customWidth="1"/>
    <col min="4" max="4" width="7.140625" customWidth="1"/>
    <col min="5" max="8" width="7.28515625" customWidth="1"/>
    <col min="9" max="9" width="6.140625" customWidth="1"/>
    <col min="10" max="10" width="5" customWidth="1"/>
    <col min="11" max="11" width="13.42578125" bestFit="1" customWidth="1"/>
    <col min="12" max="12" width="13.5703125" bestFit="1" customWidth="1"/>
    <col min="13" max="13" width="11.85546875" bestFit="1" customWidth="1"/>
    <col min="14" max="14" width="4.42578125" customWidth="1"/>
    <col min="15" max="17" width="14.5703125" customWidth="1"/>
  </cols>
  <sheetData>
    <row r="1" spans="1:24" ht="20.25" customHeight="1" x14ac:dyDescent="0.25">
      <c r="A1" s="1"/>
      <c r="B1" s="1"/>
      <c r="C1" s="2"/>
      <c r="D1" s="6"/>
      <c r="E1" s="6"/>
      <c r="F1" s="6"/>
      <c r="G1" s="6"/>
      <c r="H1" s="6"/>
      <c r="I1" s="6"/>
      <c r="J1" s="1"/>
      <c r="K1" s="1"/>
      <c r="L1" s="1"/>
      <c r="M1" s="1"/>
      <c r="N1" s="2"/>
      <c r="O1" s="2"/>
      <c r="P1" s="2"/>
      <c r="Q1" s="2"/>
      <c r="R1" s="2"/>
      <c r="S1" s="2"/>
    </row>
    <row r="2" spans="1:24" ht="24.75" customHeight="1" x14ac:dyDescent="0.25">
      <c r="A2" s="1"/>
      <c r="B2" s="3" t="s">
        <v>58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</row>
    <row r="3" spans="1:24" x14ac:dyDescent="0.25">
      <c r="A3" s="1"/>
      <c r="B3" s="100" t="s">
        <v>0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8"/>
      <c r="N3" s="2"/>
      <c r="O3" s="2"/>
      <c r="P3" s="2"/>
      <c r="Q3" s="2"/>
      <c r="R3" s="2"/>
      <c r="S3" s="2"/>
    </row>
    <row r="4" spans="1:24" ht="22.5" customHeight="1" x14ac:dyDescent="0.25">
      <c r="A4" s="1"/>
      <c r="B4" s="97" t="s">
        <v>1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5"/>
      <c r="N4" s="2"/>
      <c r="O4" s="2"/>
      <c r="P4" s="2"/>
      <c r="Q4" s="2"/>
      <c r="R4" s="2"/>
      <c r="S4" s="2"/>
    </row>
    <row r="5" spans="1:24" ht="9.75" customHeight="1" x14ac:dyDescent="0.25">
      <c r="A5" s="1"/>
      <c r="B5" s="1"/>
      <c r="C5" s="2"/>
      <c r="D5" s="2"/>
      <c r="E5" s="6"/>
      <c r="F5" s="6"/>
      <c r="G5" s="6"/>
      <c r="H5" s="6"/>
      <c r="I5" s="6"/>
      <c r="J5" s="1"/>
      <c r="K5" s="1"/>
      <c r="L5" s="1"/>
      <c r="M5" s="1"/>
      <c r="N5" s="2"/>
      <c r="O5" s="2"/>
      <c r="P5" s="2"/>
      <c r="Q5" s="2"/>
      <c r="R5" s="2"/>
      <c r="S5" s="2"/>
    </row>
    <row r="6" spans="1:24" ht="24.75" customHeight="1" x14ac:dyDescent="0.25">
      <c r="A6" s="1"/>
      <c r="B6" s="7" t="s">
        <v>2</v>
      </c>
      <c r="C6" s="8" t="s">
        <v>3</v>
      </c>
      <c r="D6" s="9" t="s">
        <v>4</v>
      </c>
      <c r="E6" s="10" t="s">
        <v>5</v>
      </c>
      <c r="F6" s="10" t="s">
        <v>6</v>
      </c>
      <c r="G6" s="10" t="s">
        <v>7</v>
      </c>
      <c r="H6" s="10" t="s">
        <v>8</v>
      </c>
      <c r="I6" s="10"/>
      <c r="J6" s="10"/>
      <c r="K6" s="10" t="s">
        <v>9</v>
      </c>
      <c r="L6" s="10" t="s">
        <v>10</v>
      </c>
      <c r="M6" s="10" t="s">
        <v>11</v>
      </c>
      <c r="N6" s="2"/>
      <c r="O6" s="2"/>
      <c r="P6" s="11"/>
      <c r="Q6" s="2"/>
      <c r="R6" s="2"/>
      <c r="S6" s="2"/>
      <c r="T6" s="2"/>
      <c r="U6" s="2"/>
      <c r="V6" s="2"/>
      <c r="W6" s="2"/>
      <c r="X6" s="2"/>
    </row>
    <row r="7" spans="1:24" ht="24.75" customHeight="1" x14ac:dyDescent="0.25">
      <c r="A7" s="1"/>
      <c r="B7" s="12" t="s">
        <v>12</v>
      </c>
      <c r="C7" s="13">
        <v>0.3</v>
      </c>
      <c r="D7" s="14"/>
      <c r="E7" s="15">
        <f>IF(ISERROR(AVERAGE(E9:E10))," ",AVERAGE(E9:E10))</f>
        <v>3</v>
      </c>
      <c r="F7" s="15">
        <f t="shared" ref="F7:H7" si="0">IF(ISERROR(AVERAGE(F9:F10))," ",AVERAGE(F9:F10))</f>
        <v>3</v>
      </c>
      <c r="G7" s="15">
        <f t="shared" si="0"/>
        <v>3</v>
      </c>
      <c r="H7" s="15">
        <f t="shared" si="0"/>
        <v>3</v>
      </c>
      <c r="I7" s="10"/>
      <c r="J7" s="16"/>
      <c r="K7" s="16">
        <v>1</v>
      </c>
      <c r="L7" s="16">
        <v>2</v>
      </c>
      <c r="M7" s="16">
        <v>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1"/>
      <c r="B8" s="17" t="s">
        <v>13</v>
      </c>
      <c r="C8" s="18"/>
      <c r="D8" s="19"/>
      <c r="E8" s="20"/>
      <c r="F8" s="20"/>
      <c r="G8" s="20"/>
      <c r="H8" s="20"/>
      <c r="I8" s="10"/>
      <c r="J8" s="20"/>
      <c r="K8" s="20"/>
      <c r="L8" s="20"/>
      <c r="M8" s="20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31.5" customHeight="1" x14ac:dyDescent="0.25">
      <c r="A9" s="1"/>
      <c r="B9" s="12" t="s">
        <v>19</v>
      </c>
      <c r="C9" s="22"/>
      <c r="D9" s="23" t="s">
        <v>15</v>
      </c>
      <c r="E9" s="24">
        <v>3</v>
      </c>
      <c r="F9" s="24">
        <v>3</v>
      </c>
      <c r="G9" s="24">
        <v>3</v>
      </c>
      <c r="H9" s="24">
        <v>3</v>
      </c>
      <c r="I9" s="10"/>
      <c r="J9" s="94"/>
      <c r="K9" s="94" t="s">
        <v>76</v>
      </c>
      <c r="L9" s="94" t="s">
        <v>77</v>
      </c>
      <c r="M9" s="94" t="s">
        <v>18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1" customHeight="1" x14ac:dyDescent="0.25">
      <c r="A10" s="1"/>
      <c r="B10" s="12" t="s">
        <v>20</v>
      </c>
      <c r="C10" s="22"/>
      <c r="D10" s="23" t="s">
        <v>15</v>
      </c>
      <c r="E10" s="24">
        <v>3</v>
      </c>
      <c r="F10" s="24">
        <v>3</v>
      </c>
      <c r="G10" s="24">
        <v>3</v>
      </c>
      <c r="H10" s="24">
        <v>3</v>
      </c>
      <c r="I10" s="10"/>
      <c r="J10" s="94"/>
      <c r="K10" s="94" t="s">
        <v>76</v>
      </c>
      <c r="L10" s="94" t="s">
        <v>77</v>
      </c>
      <c r="M10" s="94" t="s">
        <v>18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4.75" customHeight="1" x14ac:dyDescent="0.25">
      <c r="A11" s="1"/>
      <c r="B11" s="7" t="s">
        <v>78</v>
      </c>
      <c r="C11" s="8" t="s">
        <v>3</v>
      </c>
      <c r="D11" s="9" t="s">
        <v>4</v>
      </c>
      <c r="E11" s="10" t="s">
        <v>5</v>
      </c>
      <c r="F11" s="10" t="s">
        <v>6</v>
      </c>
      <c r="G11" s="10" t="s">
        <v>7</v>
      </c>
      <c r="H11" s="10" t="s">
        <v>8</v>
      </c>
      <c r="I11" s="10"/>
      <c r="J11" s="10"/>
      <c r="K11" s="10" t="s">
        <v>9</v>
      </c>
      <c r="L11" s="10" t="s">
        <v>10</v>
      </c>
      <c r="M11" s="10" t="s">
        <v>11</v>
      </c>
      <c r="N11" s="2"/>
      <c r="O11" s="2"/>
      <c r="P11" s="11"/>
      <c r="Q11" s="2"/>
      <c r="R11" s="2"/>
      <c r="S11" s="2"/>
      <c r="T11" s="2"/>
      <c r="U11" s="2"/>
      <c r="V11" s="2"/>
      <c r="W11" s="2"/>
      <c r="X11" s="2"/>
    </row>
    <row r="12" spans="1:24" ht="24.75" customHeight="1" x14ac:dyDescent="0.25">
      <c r="A12" s="1"/>
      <c r="B12" s="12" t="s">
        <v>72</v>
      </c>
      <c r="C12" s="13">
        <v>0.3</v>
      </c>
      <c r="D12" s="14"/>
      <c r="E12" s="15">
        <f>IF(ISERROR(AVERAGE(E14:E16))," ",AVERAGE(E14:E16))</f>
        <v>3</v>
      </c>
      <c r="F12" s="15">
        <f>IF(ISERROR(AVERAGE(F14:F16))," ",AVERAGE(F14:F16))</f>
        <v>3</v>
      </c>
      <c r="G12" s="15">
        <f>IF(ISERROR(AVERAGE(G14:G16))," ",AVERAGE(G14:G16))</f>
        <v>3</v>
      </c>
      <c r="H12" s="15">
        <f>IF(ISERROR(AVERAGE(H14:H16))," ",AVERAGE(H14:H16))</f>
        <v>3</v>
      </c>
      <c r="I12" s="10"/>
      <c r="J12" s="16"/>
      <c r="K12" s="16">
        <v>1</v>
      </c>
      <c r="L12" s="16">
        <v>2</v>
      </c>
      <c r="M12" s="16">
        <v>3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A13" s="1"/>
      <c r="B13" s="17" t="s">
        <v>13</v>
      </c>
      <c r="C13" s="18"/>
      <c r="D13" s="19"/>
      <c r="E13" s="20"/>
      <c r="F13" s="20"/>
      <c r="G13" s="20"/>
      <c r="H13" s="20"/>
      <c r="I13" s="10"/>
      <c r="J13" s="20"/>
      <c r="K13" s="20"/>
      <c r="L13" s="20"/>
      <c r="M13" s="2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21" customHeight="1" x14ac:dyDescent="0.25">
      <c r="A14" s="1"/>
      <c r="B14" s="12" t="s">
        <v>79</v>
      </c>
      <c r="C14" s="22"/>
      <c r="D14" s="23" t="s">
        <v>15</v>
      </c>
      <c r="E14" s="24">
        <v>3</v>
      </c>
      <c r="F14" s="24">
        <v>3</v>
      </c>
      <c r="G14" s="24">
        <v>3</v>
      </c>
      <c r="H14" s="24">
        <v>3</v>
      </c>
      <c r="I14" s="10"/>
      <c r="J14" s="94"/>
      <c r="K14" s="94" t="s">
        <v>68</v>
      </c>
      <c r="L14" s="94" t="s">
        <v>67</v>
      </c>
      <c r="M14" s="94" t="s">
        <v>37</v>
      </c>
      <c r="N14" s="101"/>
      <c r="O14" s="26"/>
      <c r="P14" s="26"/>
      <c r="Q14" s="26"/>
      <c r="R14" s="102"/>
      <c r="S14" s="2"/>
      <c r="T14" s="2"/>
      <c r="U14" s="2"/>
      <c r="V14" s="2"/>
      <c r="W14" s="2"/>
      <c r="X14" s="2"/>
    </row>
    <row r="15" spans="1:24" ht="21" customHeight="1" x14ac:dyDescent="0.25">
      <c r="A15" s="1"/>
      <c r="B15" s="12" t="s">
        <v>80</v>
      </c>
      <c r="C15" s="22"/>
      <c r="D15" s="23" t="s">
        <v>15</v>
      </c>
      <c r="E15" s="24">
        <v>3</v>
      </c>
      <c r="F15" s="103">
        <v>3</v>
      </c>
      <c r="G15" s="24">
        <v>3</v>
      </c>
      <c r="H15" s="24">
        <v>3</v>
      </c>
      <c r="I15" s="10"/>
      <c r="J15" s="94"/>
      <c r="K15" s="94" t="s">
        <v>68</v>
      </c>
      <c r="L15" s="94" t="s">
        <v>67</v>
      </c>
      <c r="M15" s="94" t="s">
        <v>37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1" customHeight="1" x14ac:dyDescent="0.25">
      <c r="A16" s="1"/>
      <c r="B16" s="12" t="s">
        <v>69</v>
      </c>
      <c r="C16" s="22"/>
      <c r="D16" s="23" t="s">
        <v>15</v>
      </c>
      <c r="E16" s="24">
        <v>3</v>
      </c>
      <c r="F16" s="24">
        <v>3</v>
      </c>
      <c r="G16" s="24">
        <v>3</v>
      </c>
      <c r="H16" s="24">
        <v>3</v>
      </c>
      <c r="I16" s="10"/>
      <c r="J16" s="94"/>
      <c r="K16" s="94" t="s">
        <v>68</v>
      </c>
      <c r="L16" s="94" t="s">
        <v>67</v>
      </c>
      <c r="M16" s="94" t="s">
        <v>37</v>
      </c>
      <c r="N16" s="1"/>
      <c r="O16" s="94"/>
      <c r="P16" s="94"/>
      <c r="Q16" s="94"/>
      <c r="R16" s="2"/>
      <c r="S16" s="2"/>
      <c r="T16" s="2"/>
      <c r="U16" s="2"/>
      <c r="V16" s="2"/>
      <c r="W16" s="2"/>
      <c r="X16" s="2"/>
    </row>
    <row r="17" spans="1:24" ht="24.75" customHeight="1" x14ac:dyDescent="0.25">
      <c r="A17" s="1"/>
      <c r="B17" s="7" t="s">
        <v>66</v>
      </c>
      <c r="C17" s="8" t="s">
        <v>3</v>
      </c>
      <c r="D17" s="9" t="s">
        <v>4</v>
      </c>
      <c r="E17" s="10" t="s">
        <v>5</v>
      </c>
      <c r="F17" s="10" t="s">
        <v>6</v>
      </c>
      <c r="G17" s="10" t="s">
        <v>7</v>
      </c>
      <c r="H17" s="10" t="s">
        <v>8</v>
      </c>
      <c r="I17" s="10"/>
      <c r="J17" s="10"/>
      <c r="K17" s="10" t="s">
        <v>9</v>
      </c>
      <c r="L17" s="10" t="s">
        <v>10</v>
      </c>
      <c r="M17" s="10" t="s">
        <v>11</v>
      </c>
      <c r="N17" s="2"/>
      <c r="O17" s="2"/>
      <c r="P17" s="11"/>
      <c r="Q17" s="2"/>
      <c r="R17" s="2"/>
      <c r="S17" s="2"/>
      <c r="T17" s="2"/>
      <c r="U17" s="2"/>
      <c r="V17" s="2"/>
      <c r="W17" s="2"/>
      <c r="X17" s="2"/>
    </row>
    <row r="18" spans="1:24" ht="24.75" customHeight="1" x14ac:dyDescent="0.25">
      <c r="A18" s="1"/>
      <c r="B18" s="12" t="s">
        <v>65</v>
      </c>
      <c r="C18" s="13">
        <v>0.3</v>
      </c>
      <c r="D18" s="14"/>
      <c r="E18" s="15">
        <f>IF(ISERROR(AVERAGE(E20:E20))," ",AVERAGE(E20:E20))</f>
        <v>3</v>
      </c>
      <c r="F18" s="15">
        <f t="shared" ref="F18:H18" si="1">IF(ISERROR(AVERAGE(F20:F20))," ",AVERAGE(F20:F20))</f>
        <v>3</v>
      </c>
      <c r="G18" s="15">
        <f t="shared" si="1"/>
        <v>3</v>
      </c>
      <c r="H18" s="15">
        <f t="shared" si="1"/>
        <v>3</v>
      </c>
      <c r="I18" s="10"/>
      <c r="J18" s="16"/>
      <c r="K18" s="16">
        <v>1</v>
      </c>
      <c r="L18" s="16">
        <v>2</v>
      </c>
      <c r="M18" s="16">
        <v>3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1"/>
      <c r="B19" s="17" t="s">
        <v>13</v>
      </c>
      <c r="C19" s="18"/>
      <c r="D19" s="19"/>
      <c r="E19" s="20"/>
      <c r="F19" s="20"/>
      <c r="G19" s="20"/>
      <c r="H19" s="20"/>
      <c r="I19" s="10"/>
      <c r="J19" s="20"/>
      <c r="K19" s="20"/>
      <c r="L19" s="20"/>
      <c r="M19" s="2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1" customHeight="1" x14ac:dyDescent="0.25">
      <c r="A20" s="1"/>
      <c r="B20" s="12" t="s">
        <v>64</v>
      </c>
      <c r="C20" s="22"/>
      <c r="D20" s="23" t="s">
        <v>15</v>
      </c>
      <c r="E20" s="24">
        <v>3</v>
      </c>
      <c r="F20" s="24">
        <v>3</v>
      </c>
      <c r="G20" s="24">
        <v>3</v>
      </c>
      <c r="H20" s="24">
        <v>3</v>
      </c>
      <c r="I20" s="10"/>
      <c r="J20" s="94"/>
      <c r="K20" s="94" t="s">
        <v>16</v>
      </c>
      <c r="L20" s="94" t="s">
        <v>17</v>
      </c>
      <c r="M20" s="94" t="s">
        <v>18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1" customHeight="1" x14ac:dyDescent="0.25">
      <c r="A21" s="1"/>
      <c r="B21" s="12" t="s">
        <v>63</v>
      </c>
      <c r="C21" s="22"/>
      <c r="D21" s="23" t="s">
        <v>15</v>
      </c>
      <c r="E21" s="24">
        <v>3</v>
      </c>
      <c r="F21" s="24">
        <v>3</v>
      </c>
      <c r="G21" s="24">
        <v>3</v>
      </c>
      <c r="H21" s="24">
        <v>3</v>
      </c>
      <c r="I21" s="10"/>
      <c r="J21" s="94"/>
      <c r="K21" s="94" t="s">
        <v>16</v>
      </c>
      <c r="L21" s="94" t="s">
        <v>17</v>
      </c>
      <c r="M21" s="94" t="s">
        <v>18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24.75" customHeight="1" x14ac:dyDescent="0.25">
      <c r="A22" s="1"/>
      <c r="B22" s="7" t="s">
        <v>39</v>
      </c>
      <c r="C22" s="8" t="s">
        <v>3</v>
      </c>
      <c r="D22" s="9" t="s">
        <v>4</v>
      </c>
      <c r="E22" s="10" t="s">
        <v>5</v>
      </c>
      <c r="F22" s="10" t="s">
        <v>6</v>
      </c>
      <c r="G22" s="10" t="s">
        <v>7</v>
      </c>
      <c r="H22" s="10" t="s">
        <v>8</v>
      </c>
      <c r="I22" s="10"/>
      <c r="J22" s="10"/>
      <c r="K22" s="10" t="s">
        <v>9</v>
      </c>
      <c r="L22" s="10" t="s">
        <v>10</v>
      </c>
      <c r="M22" s="10" t="s">
        <v>11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1"/>
      <c r="B23" s="11" t="s">
        <v>40</v>
      </c>
      <c r="C23" s="13">
        <v>0.1</v>
      </c>
      <c r="D23" s="14"/>
      <c r="E23" s="15">
        <f>IF(ISERROR(AVERAGE(E25:E26))," ",AVERAGE(E25:E26))</f>
        <v>3</v>
      </c>
      <c r="F23" s="15">
        <f t="shared" ref="F23:H23" si="2">IF(ISERROR(AVERAGE(F25:F26))," ",AVERAGE(F25:F26))</f>
        <v>3</v>
      </c>
      <c r="G23" s="15">
        <f t="shared" si="2"/>
        <v>3</v>
      </c>
      <c r="H23" s="15">
        <f t="shared" si="2"/>
        <v>3</v>
      </c>
      <c r="I23" s="10"/>
      <c r="J23" s="16"/>
      <c r="K23" s="16">
        <v>1</v>
      </c>
      <c r="L23" s="16">
        <v>2</v>
      </c>
      <c r="M23" s="16">
        <v>3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1"/>
      <c r="B24" s="40" t="s">
        <v>13</v>
      </c>
      <c r="C24" s="18"/>
      <c r="D24" s="19"/>
      <c r="E24" s="20"/>
      <c r="F24" s="20"/>
      <c r="G24" s="20"/>
      <c r="H24" s="20"/>
      <c r="I24" s="10"/>
      <c r="J24" s="20"/>
      <c r="K24" s="20"/>
      <c r="L24" s="20"/>
      <c r="M24" s="2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24.75" customHeight="1" x14ac:dyDescent="0.25">
      <c r="A25" s="1"/>
      <c r="B25" s="2" t="s">
        <v>40</v>
      </c>
      <c r="C25" s="22"/>
      <c r="D25" s="41" t="s">
        <v>41</v>
      </c>
      <c r="E25" s="24">
        <v>3</v>
      </c>
      <c r="F25" s="24">
        <v>3</v>
      </c>
      <c r="G25" s="24">
        <v>3</v>
      </c>
      <c r="H25" s="24">
        <v>3</v>
      </c>
      <c r="I25" s="10"/>
      <c r="J25" s="93"/>
      <c r="K25" s="93" t="s">
        <v>42</v>
      </c>
      <c r="L25" s="93" t="s">
        <v>43</v>
      </c>
      <c r="M25" s="93"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4.75" customHeight="1" x14ac:dyDescent="0.25">
      <c r="A26" s="43"/>
      <c r="B26" s="44" t="s">
        <v>44</v>
      </c>
      <c r="C26" s="45"/>
      <c r="D26" s="46" t="s">
        <v>41</v>
      </c>
      <c r="E26" s="92">
        <v>3</v>
      </c>
      <c r="F26" s="92">
        <v>3</v>
      </c>
      <c r="G26" s="92">
        <v>3</v>
      </c>
      <c r="H26" s="92">
        <v>3</v>
      </c>
      <c r="I26" s="47"/>
      <c r="J26" s="48"/>
      <c r="K26" s="42" t="s">
        <v>45</v>
      </c>
      <c r="L26" s="42" t="s">
        <v>46</v>
      </c>
      <c r="M26" s="42" t="s">
        <v>47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</row>
    <row r="27" spans="1:24" ht="24.75" customHeight="1" x14ac:dyDescent="0.25">
      <c r="A27" s="1"/>
      <c r="B27" s="49" t="s">
        <v>48</v>
      </c>
      <c r="C27" s="50">
        <f>SUM(C7:C26)</f>
        <v>0.99999999999999989</v>
      </c>
      <c r="D27" s="51"/>
      <c r="E27" s="52">
        <f>(E7*$C$7)+(E12*$C$12)+(E18*$C$18)+(E23*$C$23)</f>
        <v>3</v>
      </c>
      <c r="F27" s="52">
        <f>(F7*$C$7)+(F12*$C$12)+(F18*$C$18)+(F23*$C$23)</f>
        <v>3</v>
      </c>
      <c r="G27" s="52">
        <f>(G7*$C$7)+(G12*$C$12)+(G18*$C$18)+(G23*$C$23)</f>
        <v>3</v>
      </c>
      <c r="H27" s="52">
        <f>(H7*$C$7)+(H12*$C$12)+(H18*$C$18)+(H23*$C$23)</f>
        <v>3</v>
      </c>
      <c r="I27" s="53">
        <f>AVERAGE(E27:H27)/3*100</f>
        <v>100</v>
      </c>
      <c r="J27" s="55"/>
      <c r="K27" s="55"/>
      <c r="L27" s="55"/>
      <c r="M27" s="5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8.25" customHeight="1" x14ac:dyDescent="0.25"/>
    <row r="29" spans="1:24" x14ac:dyDescent="0.25">
      <c r="B29" t="s">
        <v>81</v>
      </c>
      <c r="E29" s="66" t="s">
        <v>49</v>
      </c>
      <c r="F29" s="65"/>
      <c r="G29" s="64"/>
      <c r="H29" s="66" t="s">
        <v>50</v>
      </c>
      <c r="I29" s="65"/>
      <c r="J29" s="65"/>
      <c r="K29" s="64"/>
      <c r="L29" s="63" t="s">
        <v>51</v>
      </c>
      <c r="M29" s="62"/>
    </row>
    <row r="30" spans="1:24" x14ac:dyDescent="0.25">
      <c r="E30" s="91" t="s">
        <v>52</v>
      </c>
      <c r="F30" s="91"/>
      <c r="G30" s="91"/>
      <c r="H30" s="91" t="s">
        <v>53</v>
      </c>
      <c r="I30" s="91"/>
      <c r="J30" s="91"/>
      <c r="K30" s="91"/>
      <c r="L30" s="90" t="s">
        <v>54</v>
      </c>
      <c r="M30" s="90"/>
    </row>
    <row r="31" spans="1:24" x14ac:dyDescent="0.25">
      <c r="E31" s="89">
        <v>46030</v>
      </c>
      <c r="F31" s="88"/>
      <c r="G31" s="87"/>
      <c r="H31" s="86"/>
      <c r="I31" s="85"/>
      <c r="J31" s="85"/>
      <c r="K31" s="84"/>
      <c r="L31" s="83"/>
      <c r="M31" s="82"/>
    </row>
    <row r="32" spans="1:24" x14ac:dyDescent="0.25">
      <c r="E32" s="81"/>
      <c r="F32" s="80"/>
      <c r="G32" s="79"/>
      <c r="H32" s="78"/>
      <c r="I32" s="56"/>
      <c r="J32" s="56"/>
      <c r="K32" s="77"/>
      <c r="L32" s="76"/>
      <c r="M32" s="75"/>
    </row>
    <row r="33" spans="5:13" x14ac:dyDescent="0.25">
      <c r="E33" s="81"/>
      <c r="F33" s="80"/>
      <c r="G33" s="79"/>
      <c r="H33" s="78"/>
      <c r="I33" s="56"/>
      <c r="J33" s="56"/>
      <c r="K33" s="77"/>
      <c r="L33" s="76"/>
      <c r="M33" s="75"/>
    </row>
    <row r="34" spans="5:13" x14ac:dyDescent="0.25">
      <c r="E34" s="74"/>
      <c r="F34" s="73"/>
      <c r="G34" s="72"/>
      <c r="H34" s="71"/>
      <c r="I34" s="70"/>
      <c r="J34" s="70"/>
      <c r="K34" s="69"/>
      <c r="L34" s="68"/>
      <c r="M34" s="67"/>
    </row>
    <row r="35" spans="5:13" x14ac:dyDescent="0.25">
      <c r="E35" s="66" t="s">
        <v>55</v>
      </c>
      <c r="F35" s="65"/>
      <c r="G35" s="64"/>
      <c r="H35" s="66" t="s">
        <v>56</v>
      </c>
      <c r="I35" s="65"/>
      <c r="J35" s="65"/>
      <c r="K35" s="64"/>
      <c r="L35" s="63" t="s">
        <v>57</v>
      </c>
      <c r="M35" s="62"/>
    </row>
  </sheetData>
  <mergeCells count="14">
    <mergeCell ref="E31:G34"/>
    <mergeCell ref="H31:K34"/>
    <mergeCell ref="L31:M34"/>
    <mergeCell ref="E35:G35"/>
    <mergeCell ref="H35:K35"/>
    <mergeCell ref="L35:M35"/>
    <mergeCell ref="B2:M2"/>
    <mergeCell ref="B4:M4"/>
    <mergeCell ref="E29:G29"/>
    <mergeCell ref="H29:K29"/>
    <mergeCell ref="L29:M29"/>
    <mergeCell ref="E30:G30"/>
    <mergeCell ref="H30:K30"/>
    <mergeCell ref="L30:M30"/>
  </mergeCells>
  <pageMargins left="0.5" right="0" top="0.2" bottom="0" header="0.511811023622047" footer="0.511811023622047"/>
  <pageSetup paperSize="9" scale="83" fitToHeight="0"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SHIFT PAGI</vt:lpstr>
      <vt:lpstr>SHIFT SIANG&amp;MLM</vt:lpstr>
      <vt:lpstr>Eko (SPV)</vt:lpstr>
      <vt:lpstr>KIKI (SPV)</vt:lpstr>
      <vt:lpstr>SPV MLM (FAHRUL&amp;ADID)</vt:lpstr>
      <vt:lpstr>AMEL</vt:lpstr>
      <vt:lpstr>AMEL!Print_Area</vt:lpstr>
      <vt:lpstr>'Eko (SPV)'!Print_Area</vt:lpstr>
      <vt:lpstr>'KIKI (SPV)'!Print_Area</vt:lpstr>
      <vt:lpstr>'SHIFT PAGI'!Print_Area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spv2 SAI</dc:creator>
  <cp:lastModifiedBy>spv2 SAI</cp:lastModifiedBy>
  <dcterms:created xsi:type="dcterms:W3CDTF">2026-03-27T09:32:07Z</dcterms:created>
  <dcterms:modified xsi:type="dcterms:W3CDTF">2026-03-27T09:38:27Z</dcterms:modified>
</cp:coreProperties>
</file>